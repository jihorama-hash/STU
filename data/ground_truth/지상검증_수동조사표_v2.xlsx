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D:\Roundabout\survey\"/>
    </mc:Choice>
  </mc:AlternateContent>
  <xr:revisionPtr revIDLastSave="0" documentId="13_ncr:1_{175B42C8-54AA-45E5-86F3-3D6364EE5A04}" xr6:coauthVersionLast="47" xr6:coauthVersionMax="47" xr10:uidLastSave="{00000000-0000-0000-0000-000000000000}"/>
  <bookViews>
    <workbookView xWindow="-28920" yWindow="1245" windowWidth="29040" windowHeight="15720" activeTab="2" xr2:uid="{00000000-000D-0000-FFFF-FFFF00000000}"/>
  </bookViews>
  <sheets>
    <sheet name="0_안내" sheetId="1" r:id="rId1"/>
    <sheet name="1_촬영로그" sheetId="2" r:id="rId2"/>
    <sheet name="2_통행량조사" sheetId="3" r:id="rId3"/>
    <sheet name="3_궤적검증" sheetId="4" r:id="rId4"/>
    <sheet name="4_상충검증" sheetId="5" r:id="rId5"/>
    <sheet name="5_자동집계참고"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2" i="5" l="1"/>
  <c r="B61" i="5"/>
  <c r="B60" i="5"/>
  <c r="B59" i="5"/>
  <c r="B58" i="5"/>
  <c r="H33" i="3"/>
  <c r="G33" i="3"/>
  <c r="F33" i="3"/>
  <c r="E33" i="3"/>
  <c r="D33" i="3"/>
  <c r="C33" i="3"/>
  <c r="B41" i="3" s="1"/>
  <c r="E41" i="3" s="1"/>
  <c r="H27" i="3"/>
  <c r="G27" i="3"/>
  <c r="F27" i="3"/>
  <c r="E27" i="3"/>
  <c r="D27" i="3"/>
  <c r="C27" i="3"/>
  <c r="B40" i="3" s="1"/>
  <c r="E40" i="3" s="1"/>
  <c r="H21" i="3"/>
  <c r="G21" i="3"/>
  <c r="F21" i="3"/>
  <c r="F39" i="3" s="1"/>
  <c r="I39" i="3" s="1"/>
  <c r="E21" i="3"/>
  <c r="D21" i="3"/>
  <c r="C21" i="3"/>
  <c r="B39" i="3" s="1"/>
  <c r="E39" i="3" s="1"/>
  <c r="H15" i="3"/>
  <c r="G15" i="3"/>
  <c r="F15" i="3"/>
  <c r="F38" i="3" s="1"/>
  <c r="I38" i="3" s="1"/>
  <c r="E15" i="3"/>
  <c r="D15" i="3"/>
  <c r="C15" i="3"/>
  <c r="B38" i="3" s="1"/>
  <c r="E38" i="3" s="1"/>
  <c r="H9" i="3"/>
  <c r="G9" i="3"/>
  <c r="F9" i="3"/>
  <c r="E9" i="3"/>
  <c r="D9" i="3"/>
  <c r="C9" i="3"/>
  <c r="B37" i="3" s="1"/>
  <c r="E37" i="3" s="1"/>
  <c r="B63" i="5" l="1"/>
  <c r="F40" i="3"/>
  <c r="I40" i="3" s="1"/>
  <c r="F37" i="3"/>
  <c r="I37" i="3" s="1"/>
  <c r="F41" i="3"/>
  <c r="I41" i="3" s="1"/>
</calcChain>
</file>

<file path=xl/sharedStrings.xml><?xml version="1.0" encoding="utf-8"?>
<sst xmlns="http://schemas.openxmlformats.org/spreadsheetml/2006/main" count="863" uniqueCount="330">
  <si>
    <t>지상검증 수동조사표 v2 (Phase A-3)</t>
  </si>
  <si>
    <t>■ 검증 대상 영상: DJI_0482.MP4 (단일 영상)</t>
  </si>
  <si>
    <t>모든 시트가 이 한 영상만 사용한다. 8편 중 DJI_0482만 10fps(step3)로도 분석돼 있어 자동결과 신뢰도가 가장 높고, 영상 파일 하나만 열어 세 시트를 모두 판독할 수 있다.</t>
  </si>
  <si>
    <t>■ 목적</t>
  </si>
  <si>
    <t>자동분석(SAHI 검출 + 추적 + PET/TTC 상충)의 정확도를 수동 관측으로 검증해 Phase B 방법론(검출모델·추적기·샘플링)을 확정한다.</t>
  </si>
  <si>
    <t>■ 분석 범위(중요) — 보도 보행자 제외</t>
  </si>
  <si>
    <t>이번 검증은 '차도상 상충'만 대상으로 한다. 즉 (1) 횡단보도를 건너는 보행자, (2) 차도 내 차량 궤적만 조사한다. 보도 위만 걷는 보행자 궤적은 분석적 의미가 없어 표본에서 제외했다. 3_궤적검증 표본은 모두 5개 ROI 중 하나 이상을 통과한 궤적이다.</t>
  </si>
  <si>
    <t>(차도 내 무단횡단 등 ROI 밖 상충을 포괄하는 '차도 마스터 마스크'는 Phase B에서 도입 예정. 이번 파일럿은 기존 5 ROI 기준.)</t>
  </si>
  <si>
    <t>■ 조사 순서</t>
  </si>
  <si>
    <t>1) [1_촬영로그] 촬영 조건 기록</t>
  </si>
  <si>
    <t>2) [2_통행량조사] ROI별 1분 구간 진입 수동 카운트 → 완료 후에만 [5_자동집계참고] 열람</t>
  </si>
  <si>
    <t>3) [3_궤적검증] 표본 32개(보행자 20 + 차량 12). 각 행의 오버레이 이미지를 열고 영상과 대조</t>
  </si>
  <si>
    <t xml:space="preserve">   · 오버레이 위치: survey\track_overlays_DJI_0482\ (파일명은 각 행에 기재)</t>
  </si>
  <si>
    <t xml:space="preserve">   · 시안 선 = 이 track이 잡은 경로 / 노란 선 = 분절 후보(끝점 근처·직후 시작한 다른 ID)</t>
  </si>
  <si>
    <t xml:space="preserve">   · 분절 횟수는 맨눈으로 세지 말고, '분절 후보 수'만큼 영상에서 같은 사람/차인지 확인해 '같음' 개수를 적는다</t>
  </si>
  <si>
    <t>4) [4_상충검증] DJI_0482 10fps 상충 52건 판정. 'critical' 및 '보행자-차량' 우선</t>
  </si>
  <si>
    <t>■ 판정 기준(궤적)</t>
  </si>
  <si>
    <t>정상=단일ID로 경로 완주 / 분절=같은 대상이 여러 ID로 나뉨 / ID스위치=다른 대상과 ID 뒤바뀜 / 부분누락=수목·그림자 등에서 끊김 / 오검출=실제 대상 아님</t>
  </si>
  <si>
    <t>■ 판정 기준(상충)</t>
  </si>
  <si>
    <t>실제상충=같은 공간 짧은 시차 통과+회피/근접 / 단순통과=상충으로 보기 어려움 / 오탐=검출·추적 오류 / 판단불가=화질·가림</t>
  </si>
  <si>
    <t>■ 5개 ROI 위치 그림</t>
  </si>
  <si>
    <t>survey\track_overlays_DJI_0482 의 임의 이미지 배경, 또는 ROI Study\conflict_zones_preview.jpg 참고</t>
  </si>
  <si>
    <t>영상 ID</t>
  </si>
  <si>
    <t>촬영일</t>
  </si>
  <si>
    <t>촬영 시작시각</t>
  </si>
  <si>
    <t>길이(초)</t>
  </si>
  <si>
    <t>해상도/fps</t>
  </si>
  <si>
    <t>호버 고도(m)</t>
  </si>
  <si>
    <t>짐벌 각도</t>
  </si>
  <si>
    <t>날씨</t>
  </si>
  <si>
    <t>풍속(m/s)</t>
  </si>
  <si>
    <t>그림자 방향/길이</t>
  </si>
  <si>
    <t>보행량 체감</t>
  </si>
  <si>
    <t>특이사항</t>
  </si>
  <si>
    <t>DJI_0481</t>
  </si>
  <si>
    <t>3840x2160 / 29.97</t>
  </si>
  <si>
    <t>DJI_0482</t>
  </si>
  <si>
    <t>DJI_0483_Cut</t>
  </si>
  <si>
    <t>DJI_0484</t>
  </si>
  <si>
    <t>DJI_0485</t>
  </si>
  <si>
    <t>DJI_0486</t>
  </si>
  <si>
    <t>DJI_0487</t>
  </si>
  <si>
    <t>DJI_0488</t>
  </si>
  <si>
    <t>대상: DJI_0482.MP4 (0:00–5:00) — 각 ROI에 신규 진입한 객체 수를 1분 구간별로 기입</t>
  </si>
  <si>
    <t>ROI</t>
  </si>
  <si>
    <t>시간구간</t>
  </si>
  <si>
    <t>보행자</t>
  </si>
  <si>
    <t>자전거</t>
  </si>
  <si>
    <t>오토바이</t>
  </si>
  <si>
    <t>승용차</t>
  </si>
  <si>
    <t>버스</t>
  </si>
  <si>
    <t>트럭</t>
  </si>
  <si>
    <t>비고</t>
  </si>
  <si>
    <t>crosswalk_northwest</t>
  </si>
  <si>
    <t>0:00–1:00</t>
  </si>
  <si>
    <t>1:00–2:00</t>
  </si>
  <si>
    <t>2:00–3:00</t>
  </si>
  <si>
    <t>3:00–4:00</t>
  </si>
  <si>
    <t>4:00–5:00</t>
  </si>
  <si>
    <t>crosswalk_northwest 합계</t>
  </si>
  <si>
    <t>0:00–5:00</t>
  </si>
  <si>
    <t>crosswalk_southwest</t>
  </si>
  <si>
    <t>crosswalk_southwest 합계</t>
  </si>
  <si>
    <t>crosswalk_east</t>
  </si>
  <si>
    <t>crosswalk_east 합계</t>
  </si>
  <si>
    <t>roundabout_entry_west</t>
  </si>
  <si>
    <t>roundabout_entry_west 합계</t>
  </si>
  <si>
    <t>roundabout_entry_south</t>
  </si>
  <si>
    <t>roundabout_entry_south 합계</t>
  </si>
  <si>
    <t>■ 수동 vs 자동 대조 (수동 집계 완료 후)</t>
  </si>
  <si>
    <t>보행자 수동</t>
  </si>
  <si>
    <t>보행자 자동(10fps)</t>
  </si>
  <si>
    <t>보행자 자동(3fps)</t>
  </si>
  <si>
    <t>보행자 오차율(10fps)</t>
  </si>
  <si>
    <t>차량 수동</t>
  </si>
  <si>
    <t>차량 자동(10fps)</t>
  </si>
  <si>
    <t>차량 자동(3fps)</t>
  </si>
  <si>
    <t>차량 오차율(10fps)</t>
  </si>
  <si>
    <t>대상: DJI_0482 · ROI(횡단보도/진입부) 통과 궤적만 · 보행자 20 + 차량 12 = 32개. 보도 전용 궤적은 제외됨.</t>
  </si>
  <si>
    <t>연번</t>
  </si>
  <si>
    <t>유형</t>
  </si>
  <si>
    <t>track_id</t>
  </si>
  <si>
    <t>통과 ROI</t>
  </si>
  <si>
    <t>출현</t>
  </si>
  <si>
    <t>소멸</t>
  </si>
  <si>
    <t>지속(초)</t>
  </si>
  <si>
    <t>오버레이 이미지</t>
  </si>
  <si>
    <t>분절후보수</t>
  </si>
  <si>
    <t>판정</t>
  </si>
  <si>
    <t>후보중 동일대상수</t>
  </si>
  <si>
    <t>부분누락(예/아니오)</t>
  </si>
  <si>
    <t>실제경로 메모</t>
  </si>
  <si>
    <t>보행자(보행자)</t>
  </si>
  <si>
    <t>crosswalk_northwest;roundabout_entry_west</t>
  </si>
  <si>
    <t>02:08.7</t>
  </si>
  <si>
    <t>02:37.7</t>
  </si>
  <si>
    <t>sample_01_track_647.jpg</t>
  </si>
  <si>
    <t>1</t>
  </si>
  <si>
    <t>crosswalk_northwest;roundabout_entry_west;roundabout_entry_south</t>
  </si>
  <si>
    <t>00:39.3</t>
  </si>
  <si>
    <t>01:02.5</t>
  </si>
  <si>
    <t>sample_02_track_292.jpg</t>
  </si>
  <si>
    <t>0</t>
  </si>
  <si>
    <t>03:45.2</t>
  </si>
  <si>
    <t>04:07.6</t>
  </si>
  <si>
    <t>sample_03_track_1271.jpg</t>
  </si>
  <si>
    <t>03:27.5</t>
  </si>
  <si>
    <t>03:49.7</t>
  </si>
  <si>
    <t>sample_04_track_1169.jpg</t>
  </si>
  <si>
    <t>01:09.0</t>
  </si>
  <si>
    <t>01:28.7</t>
  </si>
  <si>
    <t>sample_05_track_459.jpg</t>
  </si>
  <si>
    <t>04:17.6</t>
  </si>
  <si>
    <t>04:36.9</t>
  </si>
  <si>
    <t>sample_06_track_1448.jpg</t>
  </si>
  <si>
    <t>01:47.8</t>
  </si>
  <si>
    <t>02:06.6</t>
  </si>
  <si>
    <t>sample_07_track_532.jpg</t>
  </si>
  <si>
    <t>02:48.0</t>
  </si>
  <si>
    <t>03:01.6</t>
  </si>
  <si>
    <t>sample_08_track_889.jpg</t>
  </si>
  <si>
    <t>03:58.1</t>
  </si>
  <si>
    <t>04:11.8</t>
  </si>
  <si>
    <t>sample_09_track_1364.jpg</t>
  </si>
  <si>
    <t>2</t>
  </si>
  <si>
    <t>03:26.0</t>
  </si>
  <si>
    <t>03:38.5</t>
  </si>
  <si>
    <t>sample_10_track_1166.jpg</t>
  </si>
  <si>
    <t>02:12.8</t>
  </si>
  <si>
    <t>02:24.4</t>
  </si>
  <si>
    <t>sample_11_track_686.jpg</t>
  </si>
  <si>
    <t>3</t>
  </si>
  <si>
    <t>04:34.8</t>
  </si>
  <si>
    <t>04:46.3</t>
  </si>
  <si>
    <t>sample_12_track_1538.jpg</t>
  </si>
  <si>
    <t>03:01.5</t>
  </si>
  <si>
    <t>03:12.7</t>
  </si>
  <si>
    <t>sample_13_track_1024.jpg</t>
  </si>
  <si>
    <t>00:28.6</t>
  </si>
  <si>
    <t>00:39.1</t>
  </si>
  <si>
    <t>sample_14_track_201.jpg</t>
  </si>
  <si>
    <t>02:27.3</t>
  </si>
  <si>
    <t>02:36.9</t>
  </si>
  <si>
    <t>sample_15_track_762.jpg</t>
  </si>
  <si>
    <t>00:29.8</t>
  </si>
  <si>
    <t>00:38.5</t>
  </si>
  <si>
    <t>sample_16_track_211.jpg</t>
  </si>
  <si>
    <t>03:19.0</t>
  </si>
  <si>
    <t>03:27.2</t>
  </si>
  <si>
    <t>sample_17_track_1120.jpg</t>
  </si>
  <si>
    <t>00:32.3</t>
  </si>
  <si>
    <t>00:40.4</t>
  </si>
  <si>
    <t>sample_18_track_227.jpg</t>
  </si>
  <si>
    <t>02:29.0</t>
  </si>
  <si>
    <t>02:37.0</t>
  </si>
  <si>
    <t>sample_19_track_776.jpg</t>
  </si>
  <si>
    <t>00:16.6</t>
  </si>
  <si>
    <t>00:24.3</t>
  </si>
  <si>
    <t>sample_20_track_85.jpg</t>
  </si>
  <si>
    <t>차량(승용차)</t>
  </si>
  <si>
    <t>02:44.4</t>
  </si>
  <si>
    <t>03:02.4</t>
  </si>
  <si>
    <t>sample_21_track_865.jpg</t>
  </si>
  <si>
    <t>02:27.7</t>
  </si>
  <si>
    <t>02:43.6</t>
  </si>
  <si>
    <t>sample_22_track_766.jpg</t>
  </si>
  <si>
    <t>crosswalk_southwest;roundabout_entry_south</t>
  </si>
  <si>
    <t>00:32.5</t>
  </si>
  <si>
    <t>00:46.4</t>
  </si>
  <si>
    <t>sample_23_track_230.jpg</t>
  </si>
  <si>
    <t>6</t>
  </si>
  <si>
    <t>차량(오토바이)</t>
  </si>
  <si>
    <t>03:12.4</t>
  </si>
  <si>
    <t>03:23.2</t>
  </si>
  <si>
    <t>sample_24_track_1078.jpg</t>
  </si>
  <si>
    <t>00:37.3</t>
  </si>
  <si>
    <t>00:46.1</t>
  </si>
  <si>
    <t>sample_25_track_261.jpg</t>
  </si>
  <si>
    <t>8</t>
  </si>
  <si>
    <t>02:50.7</t>
  </si>
  <si>
    <t>02:58.4</t>
  </si>
  <si>
    <t>sample_26_track_931.jpg</t>
  </si>
  <si>
    <t>roundabout_entry_west;roundabout_entry_south</t>
  </si>
  <si>
    <t>02:18.2</t>
  </si>
  <si>
    <t>02:25.9</t>
  </si>
  <si>
    <t>sample_27_track_711.jpg</t>
  </si>
  <si>
    <t>00:42.0</t>
  </si>
  <si>
    <t>00:49.0</t>
  </si>
  <si>
    <t>sample_28_track_304.jpg</t>
  </si>
  <si>
    <t>02:54.4</t>
  </si>
  <si>
    <t>03:00.9</t>
  </si>
  <si>
    <t>sample_29_track_969.jpg</t>
  </si>
  <si>
    <t>03:28.5</t>
  </si>
  <si>
    <t>03:34.5</t>
  </si>
  <si>
    <t>sample_30_track_1171.jpg</t>
  </si>
  <si>
    <t>02:42.8</t>
  </si>
  <si>
    <t>02:48.5</t>
  </si>
  <si>
    <t>sample_31_track_853.jpg</t>
  </si>
  <si>
    <t>02:33.6</t>
  </si>
  <si>
    <t>02:39.3</t>
  </si>
  <si>
    <t>sample_32_track_802.jpg</t>
  </si>
  <si>
    <t>대상: DJI_0482 10fps(step3) 상충 이벤트 52건. 이벤트 시각으로 영상 이동해 판정. critical·보행자-차량 우선. '3fps에서도검출' 아니오 = 3fps가 놓친 이벤트.</t>
  </si>
  <si>
    <t>이벤트 시각</t>
  </si>
  <si>
    <t>상충 유형</t>
  </si>
  <si>
    <t>선행 객체</t>
  </si>
  <si>
    <t>후행 객체</t>
  </si>
  <si>
    <t>PET(초)</t>
  </si>
  <si>
    <t>위험점수</t>
  </si>
  <si>
    <t>critical</t>
  </si>
  <si>
    <t>3fps에서도검출</t>
  </si>
  <si>
    <t>심각도(주관)</t>
  </si>
  <si>
    <t>회피행동</t>
  </si>
  <si>
    <t>메모</t>
  </si>
  <si>
    <t>00:02.2</t>
  </si>
  <si>
    <t>vehicle_vehicle</t>
  </si>
  <si>
    <t>car</t>
  </si>
  <si>
    <t>예</t>
  </si>
  <si>
    <t>아니오</t>
  </si>
  <si>
    <t>00:24.5</t>
  </si>
  <si>
    <t>pedestrian_vehicle</t>
  </si>
  <si>
    <t>person</t>
  </si>
  <si>
    <t>00:30.2</t>
  </si>
  <si>
    <t>motorcycle</t>
  </si>
  <si>
    <t>00:37.6</t>
  </si>
  <si>
    <t>00:41.3</t>
  </si>
  <si>
    <t>00:43.3</t>
  </si>
  <si>
    <t>00:43.6</t>
  </si>
  <si>
    <t>00:44.4</t>
  </si>
  <si>
    <t>00:44.6</t>
  </si>
  <si>
    <t>00:46.0</t>
  </si>
  <si>
    <t>00:46.8</t>
  </si>
  <si>
    <t>00:47.4</t>
  </si>
  <si>
    <t>00:48.6</t>
  </si>
  <si>
    <t>truck</t>
  </si>
  <si>
    <t>00:48.7</t>
  </si>
  <si>
    <t>01:01.0</t>
  </si>
  <si>
    <t>01:01.8</t>
  </si>
  <si>
    <t>01:02.4</t>
  </si>
  <si>
    <t>01:10.8</t>
  </si>
  <si>
    <t>01:46.8</t>
  </si>
  <si>
    <t>01:47.7</t>
  </si>
  <si>
    <t>01:49.7</t>
  </si>
  <si>
    <t>01:52.5</t>
  </si>
  <si>
    <t>01:53.1</t>
  </si>
  <si>
    <t>01:54.9</t>
  </si>
  <si>
    <t>02:07.7</t>
  </si>
  <si>
    <t>02:26.4</t>
  </si>
  <si>
    <t>02:34.4</t>
  </si>
  <si>
    <t>02:34.7</t>
  </si>
  <si>
    <t>02:49.5</t>
  </si>
  <si>
    <t>02:50.2</t>
  </si>
  <si>
    <t>02:55.4</t>
  </si>
  <si>
    <t>02:56.1</t>
  </si>
  <si>
    <t>02:57.0</t>
  </si>
  <si>
    <t>03:00.3</t>
  </si>
  <si>
    <t>03:24.2</t>
  </si>
  <si>
    <t>03:36.5</t>
  </si>
  <si>
    <t>03:53.4</t>
  </si>
  <si>
    <t>03:55.2</t>
  </si>
  <si>
    <t>04:13.2</t>
  </si>
  <si>
    <t>04:25.3</t>
  </si>
  <si>
    <t>bus</t>
  </si>
  <si>
    <t>04:25.9</t>
  </si>
  <si>
    <t>04:31.6</t>
  </si>
  <si>
    <t>■ 판정 결과 자동 집계</t>
  </si>
  <si>
    <t>실제상충</t>
  </si>
  <si>
    <t>단순통과</t>
  </si>
  <si>
    <t>오탐</t>
  </si>
  <si>
    <t>판단불가</t>
  </si>
  <si>
    <t>판정 완료</t>
  </si>
  <si>
    <t>정탐률(실제상충/판정완료)</t>
  </si>
  <si>
    <t>※ 2_통행량조사 수동 집계 완료 전 열람 금지 (선입견 방지)</t>
  </si>
  <si>
    <t>보행자 진입(10fps)</t>
  </si>
  <si>
    <t>보행자 진입(3fps)</t>
  </si>
  <si>
    <t>차량 진입(10fps)</t>
  </si>
  <si>
    <t>차량 진입(3fps)</t>
  </si>
  <si>
    <t xml:space="preserve"> </t>
    <phoneticPr fontId="7" type="noConversion"/>
  </si>
  <si>
    <t>무단횡단 2</t>
    <phoneticPr fontId="7" type="noConversion"/>
  </si>
  <si>
    <t>무단횡단 1</t>
    <phoneticPr fontId="7" type="noConversion"/>
  </si>
  <si>
    <t>자전거 무단횡단 1</t>
    <phoneticPr fontId="7" type="noConversion"/>
  </si>
  <si>
    <t xml:space="preserve"> </t>
    <phoneticPr fontId="7" type="noConversion"/>
  </si>
  <si>
    <t>분절</t>
  </si>
  <si>
    <t>빠른 속도로 횡단을 마침</t>
    <phoneticPr fontId="7" type="noConversion"/>
  </si>
  <si>
    <t>부분누락</t>
  </si>
  <si>
    <t>수목에 가려 미검출</t>
    <phoneticPr fontId="7" type="noConversion"/>
  </si>
  <si>
    <t>횡단 완료</t>
    <phoneticPr fontId="7" type="noConversion"/>
  </si>
  <si>
    <t>이륜차</t>
    <phoneticPr fontId="7" type="noConversion"/>
  </si>
  <si>
    <t>동남 접근로에서 이동한 이륜차, 장시간 정지 후 출발</t>
    <phoneticPr fontId="7" type="noConversion"/>
  </si>
  <si>
    <t>정상적인 횡단</t>
    <phoneticPr fontId="7" type="noConversion"/>
  </si>
  <si>
    <t>서측 보도로 건넘</t>
    <phoneticPr fontId="7" type="noConversion"/>
  </si>
  <si>
    <t>남측 보도로 건넘</t>
    <phoneticPr fontId="7" type="noConversion"/>
  </si>
  <si>
    <t>북측 보도로 건넘</t>
    <phoneticPr fontId="7" type="noConversion"/>
  </si>
  <si>
    <t>북서 횡단보도에서 남측 보도로 무단 횡단</t>
    <phoneticPr fontId="7" type="noConversion"/>
  </si>
  <si>
    <t>정상</t>
  </si>
  <si>
    <t>남측 보행자가 수목에 가려서 안보임</t>
    <phoneticPr fontId="7" type="noConversion"/>
  </si>
  <si>
    <t>두 보행자의 정상적인 이동(서로 반대 방향)</t>
    <phoneticPr fontId="7" type="noConversion"/>
  </si>
  <si>
    <t>TRACK1169와 동일한 이륜차</t>
    <phoneticPr fontId="7" type="noConversion"/>
  </si>
  <si>
    <t>ID스위치</t>
  </si>
  <si>
    <t>2명의 보행자가 정상적으로 이동</t>
    <phoneticPr fontId="7" type="noConversion"/>
  </si>
  <si>
    <t>북측 보도에서 출발해서 횡단보도 중간까지 경로 누락</t>
    <phoneticPr fontId="7" type="noConversion"/>
  </si>
  <si>
    <t>북측 보도에서 남측보도로 건넘</t>
    <phoneticPr fontId="7" type="noConversion"/>
  </si>
  <si>
    <t>동측 보도에서 북측 보도로 횡단하는 중간까지 경로 누락</t>
    <phoneticPr fontId="7" type="noConversion"/>
  </si>
  <si>
    <t>보행시점(남측 보도)부터 횡단보도 중간까지 누락</t>
    <phoneticPr fontId="7" type="noConversion"/>
  </si>
  <si>
    <t>동측 보도에서 2명이 함께 북측 보도로 횡단(track762연계)</t>
    <phoneticPr fontId="7" type="noConversion"/>
  </si>
  <si>
    <t>동측 보도에서 북측 보도로 횡단 중간부터 경로 시작(track686연계)</t>
    <phoneticPr fontId="7" type="noConversion"/>
  </si>
  <si>
    <t>2명의 보행자(id 201,206)가 정상적으로 이동</t>
    <phoneticPr fontId="7" type="noConversion"/>
  </si>
  <si>
    <t>총 4명의 보행자가 동측 보도에서 남측 보도로  이동</t>
    <phoneticPr fontId="7" type="noConversion"/>
  </si>
  <si>
    <t>1명의 보행자로 인식</t>
    <phoneticPr fontId="7" type="noConversion"/>
  </si>
  <si>
    <t>북측 보도에서 출발해서 동축 보도로 향하는 횡단보도 정상 이동</t>
    <phoneticPr fontId="7" type="noConversion"/>
  </si>
  <si>
    <t>2명의 보행자가 함께 이동</t>
    <phoneticPr fontId="7" type="noConversion"/>
  </si>
  <si>
    <t>횡단보도 시점부터 tracl_id 시점까지 누락</t>
    <phoneticPr fontId="7" type="noConversion"/>
  </si>
  <si>
    <t>정상적인 횡단 이동</t>
    <phoneticPr fontId="7" type="noConversion"/>
  </si>
  <si>
    <t>연속적으로 뒤따르는 보행자가 있음</t>
    <phoneticPr fontId="7" type="noConversion"/>
  </si>
  <si>
    <t>우회전 이동 중 직진차량에 양보 후 이동</t>
    <phoneticPr fontId="7" type="noConversion"/>
  </si>
  <si>
    <t>저속 이동</t>
    <phoneticPr fontId="7" type="noConversion"/>
  </si>
  <si>
    <t>총 3대의 차량이 연속적으로 이동</t>
    <phoneticPr fontId="7" type="noConversion"/>
  </si>
  <si>
    <t xml:space="preserve"> </t>
    <phoneticPr fontId="7" type="noConversion"/>
  </si>
  <si>
    <t>하위 차로 이동 차량은 수목에 가려져 있음</t>
    <phoneticPr fontId="7" type="noConversion"/>
  </si>
  <si>
    <t>2대의 차량이 각각 직진과 우회전 이동</t>
    <phoneticPr fontId="7" type="noConversion"/>
  </si>
  <si>
    <t>총3대의 차량이 연속적으로 이동</t>
    <phoneticPr fontId="7" type="noConversion"/>
  </si>
  <si>
    <t>실제로 1대 차량 이동</t>
    <phoneticPr fontId="7" type="noConversion"/>
  </si>
  <si>
    <t>시점부에 수목으로 차량이 가려짐</t>
    <phoneticPr fontId="7" type="noConversion"/>
  </si>
  <si>
    <t>낮음</t>
  </si>
  <si>
    <t>감속</t>
  </si>
  <si>
    <t>중간</t>
  </si>
  <si>
    <t>방향전환</t>
  </si>
  <si>
    <t>단순통과</t>
    <phoneticPr fontId="7" type="noConversion"/>
  </si>
  <si>
    <t>보행자 무단 차도 횡단</t>
    <phoneticPr fontId="7" type="noConversion"/>
  </si>
  <si>
    <t>중간에 무단 보행</t>
    <phoneticPr fontId="7" type="noConversion"/>
  </si>
  <si>
    <t>중간에 1명 무단 보행</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</si>
</sst>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
  </numFmts>
  <fonts count="8" x14ac:knownFonts="1">
    <font>
      <sz val="11"/>
      <color theme="1"/>
      <name val="맑은 고딕"/>
      <family val="2"/>
      <scheme val="minor"/>
    </font>
    <font>
      <b/>
      <sz val="14"/>
      <name val="맑은 고딕"/>
      <family val="3"/>
      <charset val="129"/>
    </font>
    <font>
      <sz val="10"/>
      <name val="맑은 고딕"/>
      <family val="3"/>
      <charset val="129"/>
    </font>
    <font>
      <b/>
      <sz val="11"/>
      <name val="맑은 고딕"/>
      <family val="3"/>
      <charset val="129"/>
    </font>
    <font>
      <b/>
      <sz val="10"/>
      <color rgb="FFFFFFFF"/>
      <name val="맑은 고딕"/>
      <family val="3"/>
      <charset val="129"/>
    </font>
    <font>
      <b/>
      <sz val="10"/>
      <name val="맑은 고딕"/>
      <family val="3"/>
      <charset val="129"/>
    </font>
    <font>
      <b/>
      <sz val="11"/>
      <color rgb="FFC00000"/>
      <name val="맑은 고딕"/>
      <family val="3"/>
      <charset val="129"/>
    </font>
    <font>
      <sz val="8"/>
      <name val="맑은 고딕"/>
      <family val="3"/>
      <charset val="129"/>
      <scheme val="minor"/>
    </font>
  </fonts>
  <fills count="7">
    <fill>
      <patternFill patternType="none"/>
    </fill>
    <fill>
      <patternFill patternType="gray125"/>
    </fill>
    <fill>
      <patternFill patternType="solid">
        <fgColor rgb="FF1F4E79"/>
      </patternFill>
    </fill>
    <fill>
      <patternFill patternType="solid">
        <fgColor rgb="FFFFF2CC"/>
      </patternFill>
    </fill>
    <fill>
      <patternFill patternType="solid">
        <fgColor rgb="FFC6E0B4"/>
      </patternFill>
    </fill>
    <fill>
      <patternFill patternType="solid">
        <fgColor rgb="FFDDEBF7"/>
      </patternFill>
    </fill>
    <fill>
      <patternFill patternType="solid">
        <fgColor rgb="FFFCE4EC"/>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8">
    <xf numFmtId="0" fontId="0" fillId="0" borderId="0" xfId="0"/>
    <xf numFmtId="0" fontId="1" fillId="0" borderId="0" xfId="0" applyFont="1" applyAlignment="1">
      <alignment vertical="top" wrapText="1"/>
    </xf>
    <xf numFmtId="0" fontId="2" fillId="0" borderId="0" xfId="0" applyFont="1" applyAlignment="1">
      <alignment vertical="top" wrapText="1"/>
    </xf>
    <xf numFmtId="0" fontId="3" fillId="0" borderId="0" xfId="0" applyFont="1" applyAlignment="1">
      <alignment vertical="top" wrapText="1"/>
    </xf>
    <xf numFmtId="0" fontId="4" fillId="2" borderId="1" xfId="0" applyFont="1" applyFill="1" applyBorder="1" applyAlignment="1">
      <alignment horizontal="center" vertical="center" wrapText="1"/>
    </xf>
    <xf numFmtId="0" fontId="2" fillId="0" borderId="1" xfId="0" applyFont="1" applyBorder="1" applyAlignment="1">
      <alignment horizontal="center" vertical="center"/>
    </xf>
    <xf numFmtId="0" fontId="2" fillId="3" borderId="1" xfId="0" applyFont="1" applyFill="1" applyBorder="1"/>
    <xf numFmtId="0" fontId="2" fillId="4" borderId="1" xfId="0" applyFont="1" applyFill="1" applyBorder="1" applyAlignment="1">
      <alignment horizontal="center" vertical="center"/>
    </xf>
    <xf numFmtId="0" fontId="5" fillId="0" borderId="0" xfId="0" applyFont="1"/>
    <xf numFmtId="0" fontId="2" fillId="0" borderId="1" xfId="0" applyFont="1" applyBorder="1"/>
    <xf numFmtId="0" fontId="2" fillId="3" borderId="1" xfId="0" applyFont="1" applyFill="1" applyBorder="1" applyAlignment="1">
      <alignment horizontal="center" vertical="center"/>
    </xf>
    <xf numFmtId="0" fontId="5" fillId="0" borderId="1" xfId="0" applyFont="1" applyBorder="1"/>
    <xf numFmtId="0" fontId="5" fillId="5" borderId="1" xfId="0" applyFont="1" applyFill="1" applyBorder="1" applyAlignment="1">
      <alignment horizontal="center" vertical="center"/>
    </xf>
    <xf numFmtId="176" fontId="2" fillId="0" borderId="1" xfId="0" applyNumberFormat="1" applyFont="1" applyBorder="1" applyAlignment="1">
      <alignment horizontal="center" vertical="center"/>
    </xf>
    <xf numFmtId="0" fontId="2" fillId="6" borderId="1" xfId="0" applyFont="1" applyFill="1" applyBorder="1" applyAlignment="1">
      <alignment horizontal="center" vertical="center"/>
    </xf>
    <xf numFmtId="0" fontId="2" fillId="6" borderId="1" xfId="0" applyFont="1" applyFill="1" applyBorder="1"/>
    <xf numFmtId="0" fontId="6" fillId="0" borderId="0" xfId="0" applyFont="1"/>
    <xf numFmtId="0" fontId="5" fillId="0" borderId="0" xfId="0" applyFont="1" applyAlignment="1">
      <alignment horizontal="left"/>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B28"/>
  <sheetViews>
    <sheetView topLeftCell="A5" workbookViewId="0">
      <selection activeCell="E25" sqref="E25"/>
    </sheetView>
  </sheetViews>
  <sheetFormatPr defaultRowHeight="17" x14ac:dyDescent="0.45"/>
  <cols>
    <col min="1" max="1" width="4" customWidth="1"/>
    <col min="2" max="2" width="112" customWidth="1"/>
  </cols>
  <sheetData>
    <row r="1" spans="2:2" ht="21" x14ac:dyDescent="0.45">
      <c r="B1" s="1" t="s">
        <v>0</v>
      </c>
    </row>
    <row r="2" spans="2:2" x14ac:dyDescent="0.45">
      <c r="B2" s="2"/>
    </row>
    <row r="3" spans="2:2" x14ac:dyDescent="0.45">
      <c r="B3" s="3" t="s">
        <v>1</v>
      </c>
    </row>
    <row r="4" spans="2:2" ht="32" x14ac:dyDescent="0.45">
      <c r="B4" s="2" t="s">
        <v>2</v>
      </c>
    </row>
    <row r="5" spans="2:2" x14ac:dyDescent="0.45">
      <c r="B5" s="2"/>
    </row>
    <row r="6" spans="2:2" x14ac:dyDescent="0.45">
      <c r="B6" s="3" t="s">
        <v>3</v>
      </c>
    </row>
    <row r="7" spans="2:2" x14ac:dyDescent="0.45">
      <c r="B7" s="2" t="s">
        <v>4</v>
      </c>
    </row>
    <row r="8" spans="2:2" x14ac:dyDescent="0.45">
      <c r="B8" s="2"/>
    </row>
    <row r="9" spans="2:2" x14ac:dyDescent="0.45">
      <c r="B9" s="3" t="s">
        <v>5</v>
      </c>
    </row>
    <row r="10" spans="2:2" ht="32" x14ac:dyDescent="0.45">
      <c r="B10" s="2" t="s">
        <v>6</v>
      </c>
    </row>
    <row r="11" spans="2:2" x14ac:dyDescent="0.45">
      <c r="B11" s="2" t="s">
        <v>7</v>
      </c>
    </row>
    <row r="12" spans="2:2" x14ac:dyDescent="0.45">
      <c r="B12" s="2"/>
    </row>
    <row r="13" spans="2:2" x14ac:dyDescent="0.45">
      <c r="B13" s="3" t="s">
        <v>8</v>
      </c>
    </row>
    <row r="14" spans="2:2" x14ac:dyDescent="0.45">
      <c r="B14" s="2" t="s">
        <v>9</v>
      </c>
    </row>
    <row r="15" spans="2:2" x14ac:dyDescent="0.45">
      <c r="B15" s="2" t="s">
        <v>10</v>
      </c>
    </row>
    <row r="16" spans="2:2" x14ac:dyDescent="0.45">
      <c r="B16" s="2" t="s">
        <v>11</v>
      </c>
    </row>
    <row r="17" spans="2:2" x14ac:dyDescent="0.45">
      <c r="B17" s="2" t="s">
        <v>12</v>
      </c>
    </row>
    <row r="18" spans="2:2" x14ac:dyDescent="0.45">
      <c r="B18" s="2" t="s">
        <v>13</v>
      </c>
    </row>
    <row r="19" spans="2:2" x14ac:dyDescent="0.45">
      <c r="B19" s="2" t="s">
        <v>14</v>
      </c>
    </row>
    <row r="20" spans="2:2" x14ac:dyDescent="0.45">
      <c r="B20" s="2" t="s">
        <v>15</v>
      </c>
    </row>
    <row r="21" spans="2:2" x14ac:dyDescent="0.45">
      <c r="B21" s="2"/>
    </row>
    <row r="22" spans="2:2" x14ac:dyDescent="0.45">
      <c r="B22" s="3" t="s">
        <v>16</v>
      </c>
    </row>
    <row r="23" spans="2:2" ht="32" x14ac:dyDescent="0.45">
      <c r="B23" s="2" t="s">
        <v>17</v>
      </c>
    </row>
    <row r="24" spans="2:2" x14ac:dyDescent="0.45">
      <c r="B24" s="3" t="s">
        <v>18</v>
      </c>
    </row>
    <row r="25" spans="2:2" x14ac:dyDescent="0.45">
      <c r="B25" s="2" t="s">
        <v>19</v>
      </c>
    </row>
    <row r="26" spans="2:2" x14ac:dyDescent="0.45">
      <c r="B26" s="2"/>
    </row>
    <row r="27" spans="2:2" x14ac:dyDescent="0.45">
      <c r="B27" s="3" t="s">
        <v>20</v>
      </c>
    </row>
    <row r="28" spans="2:2" x14ac:dyDescent="0.45">
      <c r="B28" s="2" t="s">
        <v>21</v>
      </c>
    </row>
  </sheetData>
  <phoneticPr fontId="7"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9"/>
  <sheetViews>
    <sheetView workbookViewId="0"/>
  </sheetViews>
  <sheetFormatPr defaultRowHeight="17" x14ac:dyDescent="0.45"/>
  <cols>
    <col min="1" max="1" width="14" customWidth="1"/>
    <col min="2" max="3" width="12" customWidth="1"/>
    <col min="4" max="4" width="9" customWidth="1"/>
    <col min="5" max="5" width="13" customWidth="1"/>
    <col min="6" max="6" width="11" customWidth="1"/>
    <col min="7" max="9" width="10" customWidth="1"/>
    <col min="10" max="10" width="16" customWidth="1"/>
    <col min="11" max="11" width="12" customWidth="1"/>
    <col min="12" max="12" width="30" customWidth="1"/>
  </cols>
  <sheetData>
    <row r="1" spans="1:12" x14ac:dyDescent="0.45">
      <c r="A1" s="4" t="s">
        <v>22</v>
      </c>
      <c r="B1" s="4" t="s">
        <v>23</v>
      </c>
      <c r="C1" s="4" t="s">
        <v>24</v>
      </c>
      <c r="D1" s="4" t="s">
        <v>25</v>
      </c>
      <c r="E1" s="4" t="s">
        <v>26</v>
      </c>
      <c r="F1" s="4" t="s">
        <v>27</v>
      </c>
      <c r="G1" s="4" t="s">
        <v>28</v>
      </c>
      <c r="H1" s="4" t="s">
        <v>29</v>
      </c>
      <c r="I1" s="4" t="s">
        <v>30</v>
      </c>
      <c r="J1" s="4" t="s">
        <v>31</v>
      </c>
      <c r="K1" s="4" t="s">
        <v>32</v>
      </c>
      <c r="L1" s="4" t="s">
        <v>33</v>
      </c>
    </row>
    <row r="2" spans="1:12" x14ac:dyDescent="0.45">
      <c r="A2" s="5" t="s">
        <v>34</v>
      </c>
      <c r="B2" s="6"/>
      <c r="C2" s="6"/>
      <c r="D2" s="5">
        <v>290.8</v>
      </c>
      <c r="E2" s="5" t="s">
        <v>35</v>
      </c>
      <c r="F2" s="6"/>
      <c r="G2" s="6"/>
      <c r="H2" s="6"/>
      <c r="I2" s="6"/>
      <c r="J2" s="6"/>
      <c r="K2" s="6"/>
      <c r="L2" s="6"/>
    </row>
    <row r="3" spans="1:12" x14ac:dyDescent="0.45">
      <c r="A3" s="7" t="s">
        <v>36</v>
      </c>
      <c r="B3" s="6"/>
      <c r="C3" s="6"/>
      <c r="D3" s="5">
        <v>291</v>
      </c>
      <c r="E3" s="5" t="s">
        <v>35</v>
      </c>
      <c r="F3" s="6"/>
      <c r="G3" s="6"/>
      <c r="H3" s="6"/>
      <c r="I3" s="6"/>
      <c r="J3" s="6"/>
      <c r="K3" s="6"/>
      <c r="L3" s="6"/>
    </row>
    <row r="4" spans="1:12" x14ac:dyDescent="0.45">
      <c r="A4" s="5" t="s">
        <v>37</v>
      </c>
      <c r="B4" s="6"/>
      <c r="C4" s="6"/>
      <c r="D4" s="5"/>
      <c r="E4" s="5" t="s">
        <v>35</v>
      </c>
      <c r="F4" s="6"/>
      <c r="G4" s="6"/>
      <c r="H4" s="6"/>
      <c r="I4" s="6"/>
      <c r="J4" s="6"/>
      <c r="K4" s="6"/>
      <c r="L4" s="6"/>
    </row>
    <row r="5" spans="1:12" x14ac:dyDescent="0.45">
      <c r="A5" s="5" t="s">
        <v>38</v>
      </c>
      <c r="B5" s="6"/>
      <c r="C5" s="6"/>
      <c r="D5" s="5"/>
      <c r="E5" s="5" t="s">
        <v>35</v>
      </c>
      <c r="F5" s="6"/>
      <c r="G5" s="6"/>
      <c r="H5" s="6"/>
      <c r="I5" s="6"/>
      <c r="J5" s="6"/>
      <c r="K5" s="6"/>
      <c r="L5" s="6"/>
    </row>
    <row r="6" spans="1:12" x14ac:dyDescent="0.45">
      <c r="A6" s="5" t="s">
        <v>39</v>
      </c>
      <c r="B6" s="6"/>
      <c r="C6" s="6"/>
      <c r="D6" s="5"/>
      <c r="E6" s="5" t="s">
        <v>35</v>
      </c>
      <c r="F6" s="6"/>
      <c r="G6" s="6"/>
      <c r="H6" s="6"/>
      <c r="I6" s="6"/>
      <c r="J6" s="6"/>
      <c r="K6" s="6"/>
      <c r="L6" s="6"/>
    </row>
    <row r="7" spans="1:12" x14ac:dyDescent="0.45">
      <c r="A7" s="5" t="s">
        <v>40</v>
      </c>
      <c r="B7" s="6"/>
      <c r="C7" s="6"/>
      <c r="D7" s="5"/>
      <c r="E7" s="5" t="s">
        <v>35</v>
      </c>
      <c r="F7" s="6"/>
      <c r="G7" s="6"/>
      <c r="H7" s="6"/>
      <c r="I7" s="6"/>
      <c r="J7" s="6"/>
      <c r="K7" s="6"/>
      <c r="L7" s="6"/>
    </row>
    <row r="8" spans="1:12" x14ac:dyDescent="0.45">
      <c r="A8" s="5" t="s">
        <v>41</v>
      </c>
      <c r="B8" s="6"/>
      <c r="C8" s="6"/>
      <c r="D8" s="5"/>
      <c r="E8" s="5" t="s">
        <v>35</v>
      </c>
      <c r="F8" s="6"/>
      <c r="G8" s="6"/>
      <c r="H8" s="6"/>
      <c r="I8" s="6"/>
      <c r="J8" s="6"/>
      <c r="K8" s="6"/>
      <c r="L8" s="6"/>
    </row>
    <row r="9" spans="1:12" x14ac:dyDescent="0.45">
      <c r="A9" s="5" t="s">
        <v>42</v>
      </c>
      <c r="B9" s="6"/>
      <c r="C9" s="6"/>
      <c r="D9" s="5"/>
      <c r="E9" s="5" t="s">
        <v>35</v>
      </c>
      <c r="F9" s="6"/>
      <c r="G9" s="6"/>
      <c r="H9" s="6"/>
      <c r="I9" s="6"/>
      <c r="J9" s="6"/>
      <c r="K9" s="6"/>
      <c r="L9" s="6"/>
    </row>
  </sheetData>
  <phoneticPr fontId="7"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41"/>
  <sheetViews>
    <sheetView tabSelected="1" zoomScale="90" zoomScaleNormal="90" workbookViewId="0">
      <selection activeCell="O16" sqref="O16"/>
    </sheetView>
  </sheetViews>
  <sheetFormatPr defaultRowHeight="17" x14ac:dyDescent="0.45"/>
  <cols>
    <col min="1" max="1" width="24" customWidth="1"/>
    <col min="2" max="8" width="15" customWidth="1"/>
    <col min="9" max="9" width="17.4140625" customWidth="1"/>
  </cols>
  <sheetData>
    <row r="1" spans="1:9" x14ac:dyDescent="0.45">
      <c r="A1" s="8" t="s">
        <v>43</v>
      </c>
    </row>
    <row r="3" spans="1:9" x14ac:dyDescent="0.45">
      <c r="A3" s="4" t="s">
        <v>44</v>
      </c>
      <c r="B3" s="4" t="s">
        <v>45</v>
      </c>
      <c r="C3" s="4" t="s">
        <v>46</v>
      </c>
      <c r="D3" s="4" t="s">
        <v>47</v>
      </c>
      <c r="E3" s="4" t="s">
        <v>48</v>
      </c>
      <c r="F3" s="4" t="s">
        <v>49</v>
      </c>
      <c r="G3" s="4" t="s">
        <v>50</v>
      </c>
      <c r="H3" s="4" t="s">
        <v>51</v>
      </c>
      <c r="I3" s="4" t="s">
        <v>52</v>
      </c>
    </row>
    <row r="4" spans="1:9" x14ac:dyDescent="0.45">
      <c r="A4" s="9" t="s">
        <v>53</v>
      </c>
      <c r="B4" s="5" t="s">
        <v>54</v>
      </c>
      <c r="C4" s="10">
        <v>1</v>
      </c>
      <c r="D4" s="10">
        <v>3</v>
      </c>
      <c r="E4" s="10"/>
      <c r="F4" s="10"/>
      <c r="G4" s="10"/>
      <c r="H4" s="10"/>
      <c r="I4" s="6" t="s">
        <v>328</v>
      </c>
    </row>
    <row r="5" spans="1:9" x14ac:dyDescent="0.45">
      <c r="A5" s="9"/>
      <c r="B5" s="5" t="s">
        <v>55</v>
      </c>
      <c r="C5" s="10">
        <v>3</v>
      </c>
      <c r="D5" s="10"/>
      <c r="E5" s="10">
        <v>1</v>
      </c>
      <c r="F5" s="10"/>
      <c r="G5" s="10"/>
      <c r="H5" s="10"/>
      <c r="I5" s="6"/>
    </row>
    <row r="6" spans="1:9" x14ac:dyDescent="0.45">
      <c r="A6" s="9"/>
      <c r="B6" s="5" t="s">
        <v>56</v>
      </c>
      <c r="C6" s="10">
        <v>5</v>
      </c>
      <c r="D6" s="10"/>
      <c r="E6" s="10">
        <v>1</v>
      </c>
      <c r="F6" s="10"/>
      <c r="G6" s="10"/>
      <c r="H6" s="10"/>
      <c r="I6" s="6"/>
    </row>
    <row r="7" spans="1:9" x14ac:dyDescent="0.45">
      <c r="A7" s="9"/>
      <c r="B7" s="5" t="s">
        <v>57</v>
      </c>
      <c r="C7" s="10">
        <v>1</v>
      </c>
      <c r="D7" s="10"/>
      <c r="E7" s="10"/>
      <c r="F7" s="10"/>
      <c r="G7" s="10"/>
      <c r="H7" s="10"/>
      <c r="I7" s="6"/>
    </row>
    <row r="8" spans="1:9" x14ac:dyDescent="0.45">
      <c r="A8" s="9"/>
      <c r="B8" s="5" t="s">
        <v>58</v>
      </c>
      <c r="C8" s="10">
        <v>3</v>
      </c>
      <c r="D8" s="10">
        <v>2</v>
      </c>
      <c r="E8" s="10"/>
      <c r="F8" s="10"/>
      <c r="G8" s="10"/>
      <c r="H8" s="10"/>
      <c r="I8" s="6" t="s">
        <v>329</v>
      </c>
    </row>
    <row r="9" spans="1:9" x14ac:dyDescent="0.45">
      <c r="A9" s="11" t="s">
        <v>59</v>
      </c>
      <c r="B9" s="5" t="s">
        <v>60</v>
      </c>
      <c r="C9" s="12">
        <f t="shared" ref="C9:H9" si="0">SUM(C4:C8)</f>
        <v>13</v>
      </c>
      <c r="D9" s="12">
        <f t="shared" si="0"/>
        <v>5</v>
      </c>
      <c r="E9" s="12">
        <f t="shared" si="0"/>
        <v>2</v>
      </c>
      <c r="F9" s="12">
        <f t="shared" si="0"/>
        <v>0</v>
      </c>
      <c r="G9" s="12">
        <f t="shared" si="0"/>
        <v>0</v>
      </c>
      <c r="H9" s="12">
        <f t="shared" si="0"/>
        <v>0</v>
      </c>
      <c r="I9" s="9"/>
    </row>
    <row r="10" spans="1:9" x14ac:dyDescent="0.45">
      <c r="A10" s="9" t="s">
        <v>61</v>
      </c>
      <c r="B10" s="5" t="s">
        <v>54</v>
      </c>
      <c r="C10" s="10">
        <v>5</v>
      </c>
      <c r="D10" s="10">
        <v>1</v>
      </c>
      <c r="E10" s="10">
        <v>2</v>
      </c>
      <c r="F10" s="10">
        <v>5</v>
      </c>
      <c r="G10" s="10"/>
      <c r="H10" s="10"/>
      <c r="I10" s="6"/>
    </row>
    <row r="11" spans="1:9" x14ac:dyDescent="0.45">
      <c r="A11" s="9"/>
      <c r="B11" s="5" t="s">
        <v>55</v>
      </c>
      <c r="C11" s="10"/>
      <c r="D11" s="10">
        <v>2</v>
      </c>
      <c r="E11" s="10">
        <v>1</v>
      </c>
      <c r="F11" s="10">
        <v>2</v>
      </c>
      <c r="G11" s="10"/>
      <c r="H11" s="10"/>
      <c r="I11" s="6" t="s">
        <v>278</v>
      </c>
    </row>
    <row r="12" spans="1:9" x14ac:dyDescent="0.45">
      <c r="A12" s="9"/>
      <c r="B12" s="5" t="s">
        <v>56</v>
      </c>
      <c r="C12" s="10">
        <v>1</v>
      </c>
      <c r="D12" s="10"/>
      <c r="E12" s="10">
        <v>2</v>
      </c>
      <c r="F12" s="10">
        <v>6</v>
      </c>
      <c r="G12" s="10"/>
      <c r="H12" s="10"/>
      <c r="I12" s="6"/>
    </row>
    <row r="13" spans="1:9" x14ac:dyDescent="0.45">
      <c r="A13" s="9"/>
      <c r="B13" s="5" t="s">
        <v>57</v>
      </c>
      <c r="C13" s="10"/>
      <c r="D13" s="10">
        <v>2</v>
      </c>
      <c r="E13" s="10">
        <v>3</v>
      </c>
      <c r="F13" s="10">
        <v>1</v>
      </c>
      <c r="G13" s="10"/>
      <c r="H13" s="10"/>
      <c r="I13" s="6"/>
    </row>
    <row r="14" spans="1:9" x14ac:dyDescent="0.45">
      <c r="A14" s="9"/>
      <c r="B14" s="5" t="s">
        <v>58</v>
      </c>
      <c r="C14" s="10">
        <v>1</v>
      </c>
      <c r="D14" s="10">
        <v>3</v>
      </c>
      <c r="E14" s="10">
        <v>1</v>
      </c>
      <c r="F14" s="10">
        <v>2</v>
      </c>
      <c r="G14" s="10"/>
      <c r="H14" s="10"/>
      <c r="I14" s="6" t="s">
        <v>278</v>
      </c>
    </row>
    <row r="15" spans="1:9" x14ac:dyDescent="0.45">
      <c r="A15" s="11" t="s">
        <v>62</v>
      </c>
      <c r="B15" s="5" t="s">
        <v>60</v>
      </c>
      <c r="C15" s="12">
        <f t="shared" ref="C15:H15" si="1">SUM(C10:C14)</f>
        <v>7</v>
      </c>
      <c r="D15" s="12">
        <f>SUM(D10:D14)</f>
        <v>8</v>
      </c>
      <c r="E15" s="12">
        <f>SUM(E10:E14)</f>
        <v>9</v>
      </c>
      <c r="F15" s="12">
        <f>SUM(F10:F14)</f>
        <v>16</v>
      </c>
      <c r="G15" s="12">
        <f t="shared" si="1"/>
        <v>0</v>
      </c>
      <c r="H15" s="12">
        <f t="shared" si="1"/>
        <v>0</v>
      </c>
      <c r="I15" s="9"/>
    </row>
    <row r="16" spans="1:9" x14ac:dyDescent="0.45">
      <c r="A16" s="9" t="s">
        <v>63</v>
      </c>
      <c r="B16" s="5" t="s">
        <v>54</v>
      </c>
      <c r="C16" s="10">
        <v>6</v>
      </c>
      <c r="D16" s="10" t="s">
        <v>276</v>
      </c>
      <c r="E16" s="10">
        <v>1</v>
      </c>
      <c r="F16" s="10">
        <v>1</v>
      </c>
      <c r="G16" s="10"/>
      <c r="H16" s="10"/>
      <c r="I16" s="6" t="s">
        <v>277</v>
      </c>
    </row>
    <row r="17" spans="1:11" x14ac:dyDescent="0.45">
      <c r="A17" s="9"/>
      <c r="B17" s="5" t="s">
        <v>55</v>
      </c>
      <c r="C17" s="10"/>
      <c r="D17" s="10">
        <v>1</v>
      </c>
      <c r="E17" s="10"/>
      <c r="F17" s="10">
        <v>1</v>
      </c>
      <c r="G17" s="10"/>
      <c r="H17" s="10">
        <v>1</v>
      </c>
      <c r="I17" s="6" t="s">
        <v>279</v>
      </c>
    </row>
    <row r="18" spans="1:11" x14ac:dyDescent="0.45">
      <c r="A18" s="9"/>
      <c r="B18" s="5" t="s">
        <v>56</v>
      </c>
      <c r="C18" s="10">
        <v>11</v>
      </c>
      <c r="D18" s="10"/>
      <c r="E18" s="10"/>
      <c r="F18" s="10">
        <v>6</v>
      </c>
      <c r="G18" s="10"/>
      <c r="H18" s="10"/>
      <c r="I18" s="6"/>
    </row>
    <row r="19" spans="1:11" x14ac:dyDescent="0.45">
      <c r="A19" s="9"/>
      <c r="B19" s="5" t="s">
        <v>57</v>
      </c>
      <c r="C19" s="10">
        <v>6</v>
      </c>
      <c r="D19" s="10">
        <v>1</v>
      </c>
      <c r="E19" s="10">
        <v>3</v>
      </c>
      <c r="F19" s="10"/>
      <c r="G19" s="10"/>
      <c r="H19" s="10"/>
      <c r="I19" s="6"/>
    </row>
    <row r="20" spans="1:11" x14ac:dyDescent="0.45">
      <c r="A20" s="9"/>
      <c r="B20" s="5" t="s">
        <v>58</v>
      </c>
      <c r="C20" s="10">
        <v>3</v>
      </c>
      <c r="D20" s="10"/>
      <c r="E20" s="10"/>
      <c r="F20" s="10">
        <v>1</v>
      </c>
      <c r="G20" s="10"/>
      <c r="H20" s="10"/>
      <c r="I20" s="6"/>
    </row>
    <row r="21" spans="1:11" x14ac:dyDescent="0.45">
      <c r="A21" s="11" t="s">
        <v>64</v>
      </c>
      <c r="B21" s="5" t="s">
        <v>60</v>
      </c>
      <c r="C21" s="12">
        <f t="shared" ref="C21:H21" si="2">SUM(C16:C20)</f>
        <v>26</v>
      </c>
      <c r="D21" s="12">
        <f>SUM(D16:D20)</f>
        <v>2</v>
      </c>
      <c r="E21" s="12">
        <f>SUM(E16:E20)</f>
        <v>4</v>
      </c>
      <c r="F21" s="12">
        <f>SUM(F16:F20)</f>
        <v>9</v>
      </c>
      <c r="G21" s="12">
        <f t="shared" si="2"/>
        <v>0</v>
      </c>
      <c r="H21" s="12">
        <f t="shared" si="2"/>
        <v>1</v>
      </c>
      <c r="I21" s="9"/>
    </row>
    <row r="22" spans="1:11" x14ac:dyDescent="0.45">
      <c r="A22" s="9" t="s">
        <v>65</v>
      </c>
      <c r="B22" s="5" t="s">
        <v>54</v>
      </c>
      <c r="C22" s="10">
        <v>1</v>
      </c>
      <c r="D22" s="10" t="s">
        <v>280</v>
      </c>
      <c r="E22" s="10">
        <v>1</v>
      </c>
      <c r="F22" s="10">
        <v>5</v>
      </c>
      <c r="G22" s="10"/>
      <c r="H22" s="10"/>
      <c r="I22" s="6" t="s">
        <v>278</v>
      </c>
    </row>
    <row r="23" spans="1:11" x14ac:dyDescent="0.45">
      <c r="A23" s="9"/>
      <c r="B23" s="5" t="s">
        <v>55</v>
      </c>
      <c r="C23" s="10"/>
      <c r="D23" s="10">
        <v>1</v>
      </c>
      <c r="E23" s="10">
        <v>1</v>
      </c>
      <c r="F23" s="10">
        <v>2</v>
      </c>
      <c r="G23" s="10"/>
      <c r="H23" s="10">
        <v>1</v>
      </c>
      <c r="I23" s="6"/>
    </row>
    <row r="24" spans="1:11" x14ac:dyDescent="0.45">
      <c r="A24" s="9"/>
      <c r="B24" s="5" t="s">
        <v>56</v>
      </c>
      <c r="C24" s="10"/>
      <c r="D24" s="10"/>
      <c r="E24" s="10">
        <v>1</v>
      </c>
      <c r="F24" s="10">
        <v>5</v>
      </c>
      <c r="G24" s="10"/>
      <c r="H24" s="10"/>
      <c r="I24" s="6"/>
    </row>
    <row r="25" spans="1:11" x14ac:dyDescent="0.45">
      <c r="A25" s="9"/>
      <c r="B25" s="5" t="s">
        <v>57</v>
      </c>
      <c r="C25" s="10"/>
      <c r="D25" s="10">
        <v>2</v>
      </c>
      <c r="E25" s="10">
        <v>1</v>
      </c>
      <c r="F25" s="10">
        <v>1</v>
      </c>
      <c r="G25" s="10"/>
      <c r="H25" s="10"/>
      <c r="I25" s="6"/>
    </row>
    <row r="26" spans="1:11" x14ac:dyDescent="0.45">
      <c r="A26" s="9"/>
      <c r="B26" s="5" t="s">
        <v>58</v>
      </c>
      <c r="C26" s="10">
        <v>1</v>
      </c>
      <c r="D26" s="10">
        <v>1</v>
      </c>
      <c r="E26" s="10"/>
      <c r="F26" s="10">
        <v>1</v>
      </c>
      <c r="G26" s="10"/>
      <c r="H26" s="10"/>
      <c r="I26" s="6" t="s">
        <v>278</v>
      </c>
      <c r="K26" t="s">
        <v>280</v>
      </c>
    </row>
    <row r="27" spans="1:11" x14ac:dyDescent="0.45">
      <c r="A27" s="11" t="s">
        <v>66</v>
      </c>
      <c r="B27" s="5" t="s">
        <v>60</v>
      </c>
      <c r="C27" s="12">
        <f t="shared" ref="C27:H27" si="3">SUM(C22:C26)</f>
        <v>2</v>
      </c>
      <c r="D27" s="12">
        <f t="shared" si="3"/>
        <v>4</v>
      </c>
      <c r="E27" s="12">
        <f t="shared" si="3"/>
        <v>4</v>
      </c>
      <c r="F27" s="12">
        <f t="shared" si="3"/>
        <v>14</v>
      </c>
      <c r="G27" s="12">
        <f t="shared" si="3"/>
        <v>0</v>
      </c>
      <c r="H27" s="12">
        <f t="shared" si="3"/>
        <v>1</v>
      </c>
      <c r="I27" s="9"/>
      <c r="K27" t="s">
        <v>280</v>
      </c>
    </row>
    <row r="28" spans="1:11" x14ac:dyDescent="0.45">
      <c r="A28" s="9" t="s">
        <v>67</v>
      </c>
      <c r="B28" s="5" t="s">
        <v>54</v>
      </c>
      <c r="C28" s="10">
        <v>1</v>
      </c>
      <c r="D28" s="10">
        <v>3</v>
      </c>
      <c r="E28" s="10"/>
      <c r="F28" s="10">
        <v>2</v>
      </c>
      <c r="G28" s="10"/>
      <c r="H28" s="10"/>
      <c r="I28" s="6" t="s">
        <v>278</v>
      </c>
    </row>
    <row r="29" spans="1:11" x14ac:dyDescent="0.45">
      <c r="A29" s="9"/>
      <c r="B29" s="5" t="s">
        <v>55</v>
      </c>
      <c r="C29" s="10"/>
      <c r="D29" s="10">
        <v>1</v>
      </c>
      <c r="E29" s="10">
        <v>1</v>
      </c>
      <c r="F29" s="10">
        <v>2</v>
      </c>
      <c r="G29" s="10"/>
      <c r="H29" s="10">
        <v>1</v>
      </c>
      <c r="I29" s="6"/>
    </row>
    <row r="30" spans="1:11" x14ac:dyDescent="0.45">
      <c r="A30" s="9"/>
      <c r="B30" s="5" t="s">
        <v>56</v>
      </c>
      <c r="C30" s="10"/>
      <c r="D30" s="10"/>
      <c r="E30" s="10">
        <v>1</v>
      </c>
      <c r="F30" s="10">
        <v>4</v>
      </c>
      <c r="G30" s="10"/>
      <c r="H30" s="10"/>
      <c r="I30" s="6"/>
    </row>
    <row r="31" spans="1:11" x14ac:dyDescent="0.45">
      <c r="A31" s="9"/>
      <c r="B31" s="5" t="s">
        <v>57</v>
      </c>
      <c r="C31" s="10"/>
      <c r="D31" s="10"/>
      <c r="E31" s="10">
        <v>2</v>
      </c>
      <c r="F31" s="10"/>
      <c r="G31" s="10"/>
      <c r="H31" s="10"/>
      <c r="I31" s="6"/>
    </row>
    <row r="32" spans="1:11" x14ac:dyDescent="0.45">
      <c r="A32" s="9"/>
      <c r="B32" s="5" t="s">
        <v>58</v>
      </c>
      <c r="C32" s="10">
        <v>1</v>
      </c>
      <c r="D32" s="10">
        <v>2</v>
      </c>
      <c r="E32" s="10">
        <v>1</v>
      </c>
      <c r="F32" s="10">
        <v>1</v>
      </c>
      <c r="G32" s="10"/>
      <c r="H32" s="10"/>
      <c r="I32" s="6" t="s">
        <v>278</v>
      </c>
    </row>
    <row r="33" spans="1:11" x14ac:dyDescent="0.45">
      <c r="A33" s="11" t="s">
        <v>68</v>
      </c>
      <c r="B33" s="5" t="s">
        <v>60</v>
      </c>
      <c r="C33" s="12">
        <f t="shared" ref="C33:H33" si="4">SUM(C28:C32)</f>
        <v>2</v>
      </c>
      <c r="D33" s="12">
        <f t="shared" si="4"/>
        <v>6</v>
      </c>
      <c r="E33" s="12">
        <f t="shared" si="4"/>
        <v>5</v>
      </c>
      <c r="F33" s="12">
        <f t="shared" si="4"/>
        <v>9</v>
      </c>
      <c r="G33" s="12">
        <f t="shared" si="4"/>
        <v>0</v>
      </c>
      <c r="H33" s="12">
        <f t="shared" si="4"/>
        <v>1</v>
      </c>
      <c r="I33" s="9"/>
      <c r="K33" t="s">
        <v>280</v>
      </c>
    </row>
    <row r="35" spans="1:11" x14ac:dyDescent="0.45">
      <c r="A35" s="8" t="s">
        <v>69</v>
      </c>
    </row>
    <row r="36" spans="1:11" ht="32" x14ac:dyDescent="0.45">
      <c r="A36" s="4" t="s">
        <v>44</v>
      </c>
      <c r="B36" s="4" t="s">
        <v>70</v>
      </c>
      <c r="C36" s="4" t="s">
        <v>71</v>
      </c>
      <c r="D36" s="4" t="s">
        <v>72</v>
      </c>
      <c r="E36" s="4" t="s">
        <v>73</v>
      </c>
      <c r="F36" s="4" t="s">
        <v>74</v>
      </c>
      <c r="G36" s="4" t="s">
        <v>75</v>
      </c>
      <c r="H36" s="4" t="s">
        <v>76</v>
      </c>
      <c r="I36" s="4" t="s">
        <v>77</v>
      </c>
    </row>
    <row r="37" spans="1:11" x14ac:dyDescent="0.45">
      <c r="A37" s="9" t="s">
        <v>53</v>
      </c>
      <c r="B37" s="5">
        <f>C9</f>
        <v>13</v>
      </c>
      <c r="C37" s="5">
        <v>50</v>
      </c>
      <c r="D37" s="5">
        <v>52</v>
      </c>
      <c r="E37" s="13">
        <f>IF(B37=0,"",(C37-B37)/B37)</f>
        <v>2.8461538461538463</v>
      </c>
      <c r="F37" s="5">
        <f>SUM(F9:H9)</f>
        <v>0</v>
      </c>
      <c r="G37" s="5">
        <v>4</v>
      </c>
      <c r="H37" s="5">
        <v>1</v>
      </c>
      <c r="I37" s="13" t="str">
        <f>IF(F37=0,"",(G37-F37)/F37)</f>
        <v/>
      </c>
    </row>
    <row r="38" spans="1:11" x14ac:dyDescent="0.45">
      <c r="A38" s="9" t="s">
        <v>61</v>
      </c>
      <c r="B38" s="5">
        <f>C15</f>
        <v>7</v>
      </c>
      <c r="C38" s="5">
        <v>44</v>
      </c>
      <c r="D38" s="5">
        <v>41</v>
      </c>
      <c r="E38" s="13">
        <f>IF(B38=0,"",(C38-B38)/B38)</f>
        <v>5.2857142857142856</v>
      </c>
      <c r="F38" s="5">
        <f>SUM(F15:H15)</f>
        <v>16</v>
      </c>
      <c r="G38" s="5">
        <v>30</v>
      </c>
      <c r="H38" s="5">
        <v>26</v>
      </c>
      <c r="I38" s="13">
        <f>IF(F38=0,"",(G38-F38)/F38)</f>
        <v>0.875</v>
      </c>
    </row>
    <row r="39" spans="1:11" x14ac:dyDescent="0.45">
      <c r="A39" s="9" t="s">
        <v>63</v>
      </c>
      <c r="B39" s="5">
        <f>C21</f>
        <v>26</v>
      </c>
      <c r="C39" s="5">
        <v>44</v>
      </c>
      <c r="D39" s="5">
        <v>34</v>
      </c>
      <c r="E39" s="13">
        <f>IF(B39=0,"",(C39-B39)/B39)</f>
        <v>0.69230769230769229</v>
      </c>
      <c r="F39" s="5">
        <f>SUM(F21:H21)</f>
        <v>10</v>
      </c>
      <c r="G39" s="5">
        <v>36</v>
      </c>
      <c r="H39" s="5">
        <v>28</v>
      </c>
      <c r="I39" s="13">
        <f>IF(F39=0,"",(G39-F39)/F39)</f>
        <v>2.6</v>
      </c>
    </row>
    <row r="40" spans="1:11" x14ac:dyDescent="0.45">
      <c r="A40" s="9" t="s">
        <v>65</v>
      </c>
      <c r="B40" s="5">
        <f>C27</f>
        <v>2</v>
      </c>
      <c r="C40" s="5">
        <v>36</v>
      </c>
      <c r="D40" s="5">
        <v>44</v>
      </c>
      <c r="E40" s="13">
        <f>IF(B40=0,"",(C40-B40)/B40)</f>
        <v>17</v>
      </c>
      <c r="F40" s="5">
        <f>SUM(F27:H27)</f>
        <v>15</v>
      </c>
      <c r="G40" s="5">
        <v>33</v>
      </c>
      <c r="H40" s="5">
        <v>23</v>
      </c>
      <c r="I40" s="13">
        <f>IF(F40=0,"",(G40-F40)/F40)</f>
        <v>1.2</v>
      </c>
    </row>
    <row r="41" spans="1:11" x14ac:dyDescent="0.45">
      <c r="A41" s="9" t="s">
        <v>67</v>
      </c>
      <c r="B41" s="5">
        <f>C33</f>
        <v>2</v>
      </c>
      <c r="C41" s="5">
        <v>42</v>
      </c>
      <c r="D41" s="5">
        <v>37</v>
      </c>
      <c r="E41" s="13">
        <f>IF(B41=0,"",(C41-B41)/B41)</f>
        <v>20</v>
      </c>
      <c r="F41" s="5">
        <f>SUM(F33:H33)</f>
        <v>10</v>
      </c>
      <c r="G41" s="5">
        <v>50</v>
      </c>
      <c r="H41" s="5">
        <v>45</v>
      </c>
      <c r="I41" s="13">
        <f>IF(F41=0,"",(G41-F41)/F41)</f>
        <v>4</v>
      </c>
    </row>
  </sheetData>
  <phoneticPr fontId="7"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35"/>
  <sheetViews>
    <sheetView workbookViewId="0">
      <pane ySplit="3" topLeftCell="A4" activePane="bottomLeft" state="frozen"/>
      <selection pane="bottomLeft" activeCell="N31" sqref="N31"/>
    </sheetView>
  </sheetViews>
  <sheetFormatPr defaultRowHeight="17" x14ac:dyDescent="0.45"/>
  <cols>
    <col min="1" max="1" width="6.9140625" customWidth="1"/>
    <col min="2" max="2" width="15.1640625" customWidth="1"/>
    <col min="3" max="3" width="8" customWidth="1"/>
    <col min="4" max="4" width="22" customWidth="1"/>
    <col min="5" max="7" width="8" customWidth="1"/>
    <col min="8" max="8" width="26" customWidth="1"/>
    <col min="9" max="9" width="9" customWidth="1"/>
    <col min="10" max="10" width="11" customWidth="1"/>
    <col min="11" max="11" width="11.83203125" customWidth="1"/>
    <col min="12" max="12" width="12" customWidth="1"/>
    <col min="13" max="13" width="49.9140625" customWidth="1"/>
    <col min="14" max="14" width="34.1640625" customWidth="1"/>
  </cols>
  <sheetData>
    <row r="1" spans="1:14" x14ac:dyDescent="0.45">
      <c r="A1" s="17" t="s">
        <v>78</v>
      </c>
      <c r="B1" s="17"/>
      <c r="C1" s="17"/>
      <c r="D1" s="17"/>
      <c r="E1" s="17"/>
      <c r="F1" s="17"/>
      <c r="G1" s="17"/>
      <c r="H1" s="17"/>
    </row>
    <row r="3" spans="1:14" ht="32" x14ac:dyDescent="0.45">
      <c r="A3" s="4" t="s">
        <v>79</v>
      </c>
      <c r="B3" s="4" t="s">
        <v>80</v>
      </c>
      <c r="C3" s="4" t="s">
        <v>81</v>
      </c>
      <c r="D3" s="4" t="s">
        <v>82</v>
      </c>
      <c r="E3" s="4" t="s">
        <v>83</v>
      </c>
      <c r="F3" s="4" t="s">
        <v>84</v>
      </c>
      <c r="G3" s="4" t="s">
        <v>85</v>
      </c>
      <c r="H3" s="4" t="s">
        <v>86</v>
      </c>
      <c r="I3" s="4" t="s">
        <v>87</v>
      </c>
      <c r="J3" s="4" t="s">
        <v>88</v>
      </c>
      <c r="K3" s="4" t="s">
        <v>89</v>
      </c>
      <c r="L3" s="4" t="s">
        <v>90</v>
      </c>
      <c r="M3" s="4" t="s">
        <v>91</v>
      </c>
      <c r="N3" s="4" t="s">
        <v>52</v>
      </c>
    </row>
    <row r="4" spans="1:14" x14ac:dyDescent="0.45">
      <c r="A4" s="5">
        <v>1</v>
      </c>
      <c r="B4" s="5" t="s">
        <v>92</v>
      </c>
      <c r="C4" s="5">
        <v>647</v>
      </c>
      <c r="D4" s="9" t="s">
        <v>93</v>
      </c>
      <c r="E4" s="5" t="s">
        <v>94</v>
      </c>
      <c r="F4" s="5" t="s">
        <v>95</v>
      </c>
      <c r="G4" s="5">
        <v>28.9</v>
      </c>
      <c r="H4" s="9" t="s">
        <v>96</v>
      </c>
      <c r="I4" s="5" t="s">
        <v>97</v>
      </c>
      <c r="J4" s="6" t="s">
        <v>281</v>
      </c>
      <c r="K4" s="6">
        <v>1</v>
      </c>
      <c r="L4" s="6" t="s">
        <v>216</v>
      </c>
      <c r="M4" s="6" t="s">
        <v>282</v>
      </c>
      <c r="N4" s="6" t="s">
        <v>290</v>
      </c>
    </row>
    <row r="5" spans="1:14" x14ac:dyDescent="0.45">
      <c r="A5" s="5">
        <v>2</v>
      </c>
      <c r="B5" s="5" t="s">
        <v>92</v>
      </c>
      <c r="C5" s="5">
        <v>292</v>
      </c>
      <c r="D5" s="9" t="s">
        <v>98</v>
      </c>
      <c r="E5" s="5" t="s">
        <v>99</v>
      </c>
      <c r="F5" s="5" t="s">
        <v>100</v>
      </c>
      <c r="G5" s="5">
        <v>23.1</v>
      </c>
      <c r="H5" s="9" t="s">
        <v>101</v>
      </c>
      <c r="I5" s="5" t="s">
        <v>102</v>
      </c>
      <c r="J5" s="6" t="s">
        <v>283</v>
      </c>
      <c r="K5" s="6"/>
      <c r="L5" s="6" t="s">
        <v>216</v>
      </c>
      <c r="M5" s="6" t="s">
        <v>284</v>
      </c>
      <c r="N5" s="6" t="s">
        <v>290</v>
      </c>
    </row>
    <row r="6" spans="1:14" x14ac:dyDescent="0.45">
      <c r="A6" s="5">
        <v>3</v>
      </c>
      <c r="B6" s="5" t="s">
        <v>92</v>
      </c>
      <c r="C6" s="5">
        <v>1271</v>
      </c>
      <c r="D6" s="9" t="s">
        <v>53</v>
      </c>
      <c r="E6" s="5" t="s">
        <v>103</v>
      </c>
      <c r="F6" s="5" t="s">
        <v>104</v>
      </c>
      <c r="G6" s="5">
        <v>22.4</v>
      </c>
      <c r="H6" s="9" t="s">
        <v>105</v>
      </c>
      <c r="I6" s="5" t="s">
        <v>97</v>
      </c>
      <c r="J6" s="6" t="s">
        <v>283</v>
      </c>
      <c r="K6" s="6">
        <v>1</v>
      </c>
      <c r="L6" s="6" t="s">
        <v>216</v>
      </c>
      <c r="M6" s="6" t="s">
        <v>285</v>
      </c>
      <c r="N6" s="6" t="s">
        <v>291</v>
      </c>
    </row>
    <row r="7" spans="1:14" x14ac:dyDescent="0.45">
      <c r="A7" s="5">
        <v>4</v>
      </c>
      <c r="B7" s="5" t="s">
        <v>92</v>
      </c>
      <c r="C7" s="5">
        <v>1169</v>
      </c>
      <c r="D7" s="9" t="s">
        <v>53</v>
      </c>
      <c r="E7" s="5" t="s">
        <v>106</v>
      </c>
      <c r="F7" s="5" t="s">
        <v>107</v>
      </c>
      <c r="G7" s="5">
        <v>22.2</v>
      </c>
      <c r="H7" s="9" t="s">
        <v>108</v>
      </c>
      <c r="I7" s="5" t="s">
        <v>97</v>
      </c>
      <c r="J7" s="6" t="s">
        <v>281</v>
      </c>
      <c r="K7" s="6">
        <v>1</v>
      </c>
      <c r="L7" s="6" t="s">
        <v>217</v>
      </c>
      <c r="M7" s="6" t="s">
        <v>287</v>
      </c>
      <c r="N7" s="6" t="s">
        <v>286</v>
      </c>
    </row>
    <row r="8" spans="1:14" x14ac:dyDescent="0.45">
      <c r="A8" s="5">
        <v>5</v>
      </c>
      <c r="B8" s="5" t="s">
        <v>92</v>
      </c>
      <c r="C8" s="5">
        <v>459</v>
      </c>
      <c r="D8" s="9" t="s">
        <v>53</v>
      </c>
      <c r="E8" s="5" t="s">
        <v>109</v>
      </c>
      <c r="F8" s="5" t="s">
        <v>110</v>
      </c>
      <c r="G8" s="5">
        <v>19.7</v>
      </c>
      <c r="H8" s="9" t="s">
        <v>111</v>
      </c>
      <c r="I8" s="5" t="s">
        <v>97</v>
      </c>
      <c r="J8" s="6" t="s">
        <v>281</v>
      </c>
      <c r="K8" s="6">
        <v>1</v>
      </c>
      <c r="L8" s="6" t="s">
        <v>217</v>
      </c>
      <c r="M8" s="6" t="s">
        <v>288</v>
      </c>
      <c r="N8" s="6" t="s">
        <v>289</v>
      </c>
    </row>
    <row r="9" spans="1:14" x14ac:dyDescent="0.45">
      <c r="A9" s="5">
        <v>6</v>
      </c>
      <c r="B9" s="5" t="s">
        <v>92</v>
      </c>
      <c r="C9" s="5">
        <v>1448</v>
      </c>
      <c r="D9" s="9" t="s">
        <v>93</v>
      </c>
      <c r="E9" s="5" t="s">
        <v>112</v>
      </c>
      <c r="F9" s="5" t="s">
        <v>113</v>
      </c>
      <c r="G9" s="5">
        <v>19.3</v>
      </c>
      <c r="H9" s="9" t="s">
        <v>114</v>
      </c>
      <c r="I9" s="5" t="s">
        <v>97</v>
      </c>
      <c r="J9" s="6" t="s">
        <v>281</v>
      </c>
      <c r="K9" s="6">
        <v>1</v>
      </c>
      <c r="L9" s="6" t="s">
        <v>217</v>
      </c>
      <c r="M9" s="6" t="s">
        <v>292</v>
      </c>
      <c r="N9" s="6" t="s">
        <v>290</v>
      </c>
    </row>
    <row r="10" spans="1:14" x14ac:dyDescent="0.45">
      <c r="A10" s="5">
        <v>7</v>
      </c>
      <c r="B10" s="5" t="s">
        <v>92</v>
      </c>
      <c r="C10" s="5">
        <v>532</v>
      </c>
      <c r="D10" s="9" t="s">
        <v>53</v>
      </c>
      <c r="E10" s="5" t="s">
        <v>115</v>
      </c>
      <c r="F10" s="5" t="s">
        <v>116</v>
      </c>
      <c r="G10" s="5">
        <v>18.8</v>
      </c>
      <c r="H10" s="9" t="s">
        <v>117</v>
      </c>
      <c r="I10" s="5" t="s">
        <v>102</v>
      </c>
      <c r="J10" s="6" t="s">
        <v>293</v>
      </c>
      <c r="K10" s="6">
        <v>1</v>
      </c>
      <c r="L10" s="6" t="s">
        <v>217</v>
      </c>
      <c r="M10" s="6" t="s">
        <v>288</v>
      </c>
      <c r="N10" s="6" t="s">
        <v>291</v>
      </c>
    </row>
    <row r="11" spans="1:14" x14ac:dyDescent="0.45">
      <c r="A11" s="5">
        <v>8</v>
      </c>
      <c r="B11" s="5" t="s">
        <v>92</v>
      </c>
      <c r="C11" s="5">
        <v>889</v>
      </c>
      <c r="D11" s="9" t="s">
        <v>53</v>
      </c>
      <c r="E11" s="5" t="s">
        <v>118</v>
      </c>
      <c r="F11" s="5" t="s">
        <v>119</v>
      </c>
      <c r="G11" s="5">
        <v>13.6</v>
      </c>
      <c r="H11" s="9" t="s">
        <v>120</v>
      </c>
      <c r="I11" s="5" t="s">
        <v>102</v>
      </c>
      <c r="J11" s="6" t="s">
        <v>281</v>
      </c>
      <c r="K11" s="6">
        <v>1</v>
      </c>
      <c r="L11" s="6" t="s">
        <v>216</v>
      </c>
      <c r="M11" s="6" t="s">
        <v>288</v>
      </c>
      <c r="N11" s="6" t="s">
        <v>289</v>
      </c>
    </row>
    <row r="12" spans="1:14" x14ac:dyDescent="0.45">
      <c r="A12" s="5">
        <v>9</v>
      </c>
      <c r="B12" s="5" t="s">
        <v>92</v>
      </c>
      <c r="C12" s="5">
        <v>1364</v>
      </c>
      <c r="D12" s="9" t="s">
        <v>63</v>
      </c>
      <c r="E12" s="5" t="s">
        <v>121</v>
      </c>
      <c r="F12" s="5" t="s">
        <v>122</v>
      </c>
      <c r="G12" s="5">
        <v>13.6</v>
      </c>
      <c r="H12" s="9" t="s">
        <v>123</v>
      </c>
      <c r="I12" s="5" t="s">
        <v>124</v>
      </c>
      <c r="J12" s="6" t="s">
        <v>293</v>
      </c>
      <c r="K12" s="6"/>
      <c r="L12" s="6" t="s">
        <v>217</v>
      </c>
      <c r="M12" s="6" t="s">
        <v>295</v>
      </c>
      <c r="N12" s="6" t="s">
        <v>294</v>
      </c>
    </row>
    <row r="13" spans="1:14" x14ac:dyDescent="0.45">
      <c r="A13" s="5">
        <v>10</v>
      </c>
      <c r="B13" s="5" t="s">
        <v>92</v>
      </c>
      <c r="C13" s="5">
        <v>1166</v>
      </c>
      <c r="D13" s="9" t="s">
        <v>53</v>
      </c>
      <c r="E13" s="5" t="s">
        <v>125</v>
      </c>
      <c r="F13" s="5" t="s">
        <v>126</v>
      </c>
      <c r="G13" s="5">
        <v>12.5</v>
      </c>
      <c r="H13" s="9" t="s">
        <v>127</v>
      </c>
      <c r="I13" s="5" t="s">
        <v>102</v>
      </c>
      <c r="J13" s="6" t="s">
        <v>293</v>
      </c>
      <c r="K13" s="6"/>
      <c r="L13" s="6" t="s">
        <v>217</v>
      </c>
      <c r="M13" s="6" t="s">
        <v>296</v>
      </c>
      <c r="N13" s="6" t="s">
        <v>286</v>
      </c>
    </row>
    <row r="14" spans="1:14" x14ac:dyDescent="0.45">
      <c r="A14" s="5">
        <v>11</v>
      </c>
      <c r="B14" s="5" t="s">
        <v>92</v>
      </c>
      <c r="C14" s="5">
        <v>686</v>
      </c>
      <c r="D14" s="9" t="s">
        <v>53</v>
      </c>
      <c r="E14" s="5" t="s">
        <v>128</v>
      </c>
      <c r="F14" s="5" t="s">
        <v>129</v>
      </c>
      <c r="G14" s="5">
        <v>11.6</v>
      </c>
      <c r="H14" s="9" t="s">
        <v>130</v>
      </c>
      <c r="I14" s="5" t="s">
        <v>131</v>
      </c>
      <c r="J14" s="6" t="s">
        <v>281</v>
      </c>
      <c r="K14" s="6">
        <v>2</v>
      </c>
      <c r="L14" s="6" t="s">
        <v>217</v>
      </c>
      <c r="M14" s="6" t="s">
        <v>303</v>
      </c>
      <c r="N14" s="6" t="s">
        <v>298</v>
      </c>
    </row>
    <row r="15" spans="1:14" x14ac:dyDescent="0.45">
      <c r="A15" s="5">
        <v>12</v>
      </c>
      <c r="B15" s="5" t="s">
        <v>92</v>
      </c>
      <c r="C15" s="5">
        <v>1538</v>
      </c>
      <c r="D15" s="9" t="s">
        <v>53</v>
      </c>
      <c r="E15" s="5" t="s">
        <v>132</v>
      </c>
      <c r="F15" s="5" t="s">
        <v>133</v>
      </c>
      <c r="G15" s="5">
        <v>11.5</v>
      </c>
      <c r="H15" s="9" t="s">
        <v>134</v>
      </c>
      <c r="I15" s="5" t="s">
        <v>102</v>
      </c>
      <c r="J15" s="6" t="s">
        <v>283</v>
      </c>
      <c r="K15" s="6"/>
      <c r="L15" s="6" t="s">
        <v>216</v>
      </c>
      <c r="M15" s="6" t="s">
        <v>301</v>
      </c>
      <c r="N15" s="6" t="s">
        <v>298</v>
      </c>
    </row>
    <row r="16" spans="1:14" x14ac:dyDescent="0.45">
      <c r="A16" s="5">
        <v>13</v>
      </c>
      <c r="B16" s="5" t="s">
        <v>92</v>
      </c>
      <c r="C16" s="5">
        <v>1024</v>
      </c>
      <c r="D16" s="9" t="s">
        <v>53</v>
      </c>
      <c r="E16" s="5" t="s">
        <v>135</v>
      </c>
      <c r="F16" s="5" t="s">
        <v>136</v>
      </c>
      <c r="G16" s="5">
        <v>11.2</v>
      </c>
      <c r="H16" s="9" t="s">
        <v>137</v>
      </c>
      <c r="I16" s="5" t="s">
        <v>102</v>
      </c>
      <c r="J16" s="6" t="s">
        <v>293</v>
      </c>
      <c r="K16" s="6"/>
      <c r="L16" s="6" t="s">
        <v>216</v>
      </c>
      <c r="M16" s="6" t="s">
        <v>299</v>
      </c>
      <c r="N16" s="6" t="s">
        <v>300</v>
      </c>
    </row>
    <row r="17" spans="1:14" x14ac:dyDescent="0.45">
      <c r="A17" s="5">
        <v>14</v>
      </c>
      <c r="B17" s="5" t="s">
        <v>92</v>
      </c>
      <c r="C17" s="5">
        <v>201</v>
      </c>
      <c r="D17" s="9" t="s">
        <v>61</v>
      </c>
      <c r="E17" s="5" t="s">
        <v>138</v>
      </c>
      <c r="F17" s="5" t="s">
        <v>139</v>
      </c>
      <c r="G17" s="5">
        <v>10.5</v>
      </c>
      <c r="H17" s="9" t="s">
        <v>140</v>
      </c>
      <c r="I17" s="5" t="s">
        <v>102</v>
      </c>
      <c r="J17" s="6" t="s">
        <v>283</v>
      </c>
      <c r="K17" s="6"/>
      <c r="L17" s="6" t="s">
        <v>216</v>
      </c>
      <c r="M17" s="6" t="s">
        <v>302</v>
      </c>
      <c r="N17" s="6" t="s">
        <v>305</v>
      </c>
    </row>
    <row r="18" spans="1:14" x14ac:dyDescent="0.45">
      <c r="A18" s="5">
        <v>15</v>
      </c>
      <c r="B18" s="5" t="s">
        <v>92</v>
      </c>
      <c r="C18" s="5">
        <v>762</v>
      </c>
      <c r="D18" s="9" t="s">
        <v>53</v>
      </c>
      <c r="E18" s="5" t="s">
        <v>141</v>
      </c>
      <c r="F18" s="5" t="s">
        <v>142</v>
      </c>
      <c r="G18" s="5">
        <v>9.5</v>
      </c>
      <c r="H18" s="9" t="s">
        <v>143</v>
      </c>
      <c r="I18" s="5" t="s">
        <v>102</v>
      </c>
      <c r="J18" s="6" t="s">
        <v>281</v>
      </c>
      <c r="K18" s="6">
        <v>2</v>
      </c>
      <c r="L18" s="6" t="s">
        <v>216</v>
      </c>
      <c r="M18" s="6" t="s">
        <v>304</v>
      </c>
      <c r="N18" s="6" t="s">
        <v>298</v>
      </c>
    </row>
    <row r="19" spans="1:14" x14ac:dyDescent="0.45">
      <c r="A19" s="5">
        <v>16</v>
      </c>
      <c r="B19" s="5" t="s">
        <v>92</v>
      </c>
      <c r="C19" s="5">
        <v>211</v>
      </c>
      <c r="D19" s="9" t="s">
        <v>61</v>
      </c>
      <c r="E19" s="5" t="s">
        <v>144</v>
      </c>
      <c r="F19" s="5" t="s">
        <v>145</v>
      </c>
      <c r="G19" s="5">
        <v>8.6999999999999993</v>
      </c>
      <c r="H19" s="9" t="s">
        <v>146</v>
      </c>
      <c r="I19" s="5" t="s">
        <v>102</v>
      </c>
      <c r="J19" s="6" t="s">
        <v>283</v>
      </c>
      <c r="K19" s="6"/>
      <c r="L19" s="6" t="s">
        <v>216</v>
      </c>
      <c r="M19" s="6" t="s">
        <v>302</v>
      </c>
      <c r="N19" s="6" t="s">
        <v>305</v>
      </c>
    </row>
    <row r="20" spans="1:14" x14ac:dyDescent="0.45">
      <c r="A20" s="5">
        <v>17</v>
      </c>
      <c r="B20" s="5" t="s">
        <v>92</v>
      </c>
      <c r="C20" s="5">
        <v>1120</v>
      </c>
      <c r="D20" s="9" t="s">
        <v>63</v>
      </c>
      <c r="E20" s="5" t="s">
        <v>147</v>
      </c>
      <c r="F20" s="5" t="s">
        <v>148</v>
      </c>
      <c r="G20" s="5">
        <v>8.1999999999999993</v>
      </c>
      <c r="H20" s="9" t="s">
        <v>149</v>
      </c>
      <c r="I20" s="5" t="s">
        <v>102</v>
      </c>
      <c r="J20" s="6" t="s">
        <v>297</v>
      </c>
      <c r="K20" s="6"/>
      <c r="L20" s="6" t="s">
        <v>216</v>
      </c>
      <c r="M20" s="6" t="s">
        <v>306</v>
      </c>
      <c r="N20" s="6" t="s">
        <v>307</v>
      </c>
    </row>
    <row r="21" spans="1:14" x14ac:dyDescent="0.45">
      <c r="A21" s="5">
        <v>18</v>
      </c>
      <c r="B21" s="5" t="s">
        <v>92</v>
      </c>
      <c r="C21" s="5">
        <v>227</v>
      </c>
      <c r="D21" s="9" t="s">
        <v>53</v>
      </c>
      <c r="E21" s="5" t="s">
        <v>150</v>
      </c>
      <c r="F21" s="5" t="s">
        <v>151</v>
      </c>
      <c r="G21" s="5">
        <v>8.1</v>
      </c>
      <c r="H21" s="9" t="s">
        <v>152</v>
      </c>
      <c r="I21" s="5" t="s">
        <v>97</v>
      </c>
      <c r="J21" s="6" t="s">
        <v>281</v>
      </c>
      <c r="K21" s="6">
        <v>1</v>
      </c>
      <c r="L21" s="6" t="s">
        <v>216</v>
      </c>
      <c r="M21" s="6" t="s">
        <v>308</v>
      </c>
      <c r="N21" s="6"/>
    </row>
    <row r="22" spans="1:14" x14ac:dyDescent="0.45">
      <c r="A22" s="5">
        <v>19</v>
      </c>
      <c r="B22" s="5" t="s">
        <v>92</v>
      </c>
      <c r="C22" s="5">
        <v>776</v>
      </c>
      <c r="D22" s="9" t="s">
        <v>53</v>
      </c>
      <c r="E22" s="5" t="s">
        <v>153</v>
      </c>
      <c r="F22" s="5" t="s">
        <v>154</v>
      </c>
      <c r="G22" s="5">
        <v>7.9</v>
      </c>
      <c r="H22" s="9" t="s">
        <v>155</v>
      </c>
      <c r="I22" s="5" t="s">
        <v>102</v>
      </c>
      <c r="J22" s="6" t="s">
        <v>283</v>
      </c>
      <c r="K22" s="6"/>
      <c r="L22" s="6" t="s">
        <v>216</v>
      </c>
      <c r="M22" s="6" t="s">
        <v>309</v>
      </c>
      <c r="N22" s="6" t="s">
        <v>310</v>
      </c>
    </row>
    <row r="23" spans="1:14" x14ac:dyDescent="0.45">
      <c r="A23" s="5">
        <v>20</v>
      </c>
      <c r="B23" s="5" t="s">
        <v>92</v>
      </c>
      <c r="C23" s="5">
        <v>85</v>
      </c>
      <c r="D23" s="9" t="s">
        <v>63</v>
      </c>
      <c r="E23" s="5" t="s">
        <v>156</v>
      </c>
      <c r="F23" s="5" t="s">
        <v>157</v>
      </c>
      <c r="G23" s="5">
        <v>7.7</v>
      </c>
      <c r="H23" s="9" t="s">
        <v>158</v>
      </c>
      <c r="I23" s="5" t="s">
        <v>124</v>
      </c>
      <c r="J23" s="6" t="s">
        <v>293</v>
      </c>
      <c r="K23" s="6"/>
      <c r="L23" s="6" t="s">
        <v>217</v>
      </c>
      <c r="M23" s="6" t="s">
        <v>311</v>
      </c>
      <c r="N23" s="6" t="s">
        <v>312</v>
      </c>
    </row>
    <row r="24" spans="1:14" x14ac:dyDescent="0.45">
      <c r="A24" s="14">
        <v>21</v>
      </c>
      <c r="B24" s="14" t="s">
        <v>159</v>
      </c>
      <c r="C24" s="14">
        <v>865</v>
      </c>
      <c r="D24" s="15" t="s">
        <v>63</v>
      </c>
      <c r="E24" s="14" t="s">
        <v>160</v>
      </c>
      <c r="F24" s="14" t="s">
        <v>161</v>
      </c>
      <c r="G24" s="14">
        <v>18</v>
      </c>
      <c r="H24" s="15" t="s">
        <v>162</v>
      </c>
      <c r="I24" s="14" t="s">
        <v>102</v>
      </c>
      <c r="J24" s="6" t="s">
        <v>293</v>
      </c>
      <c r="K24" s="6"/>
      <c r="L24" s="6" t="s">
        <v>217</v>
      </c>
      <c r="M24" s="6" t="s">
        <v>313</v>
      </c>
      <c r="N24" s="6"/>
    </row>
    <row r="25" spans="1:14" x14ac:dyDescent="0.45">
      <c r="A25" s="14">
        <v>22</v>
      </c>
      <c r="B25" s="14" t="s">
        <v>159</v>
      </c>
      <c r="C25" s="14">
        <v>766</v>
      </c>
      <c r="D25" s="15" t="s">
        <v>63</v>
      </c>
      <c r="E25" s="14" t="s">
        <v>163</v>
      </c>
      <c r="F25" s="14" t="s">
        <v>164</v>
      </c>
      <c r="G25" s="14">
        <v>15.8</v>
      </c>
      <c r="H25" s="15" t="s">
        <v>165</v>
      </c>
      <c r="I25" s="14" t="s">
        <v>102</v>
      </c>
      <c r="J25" s="6" t="s">
        <v>293</v>
      </c>
      <c r="K25" s="6"/>
      <c r="L25" s="6" t="s">
        <v>217</v>
      </c>
      <c r="M25" s="6" t="s">
        <v>314</v>
      </c>
      <c r="N25" s="6"/>
    </row>
    <row r="26" spans="1:14" x14ac:dyDescent="0.45">
      <c r="A26" s="14">
        <v>23</v>
      </c>
      <c r="B26" s="14" t="s">
        <v>159</v>
      </c>
      <c r="C26" s="14">
        <v>230</v>
      </c>
      <c r="D26" s="15" t="s">
        <v>166</v>
      </c>
      <c r="E26" s="14" t="s">
        <v>167</v>
      </c>
      <c r="F26" s="14" t="s">
        <v>168</v>
      </c>
      <c r="G26" s="14">
        <v>13.9</v>
      </c>
      <c r="H26" s="15" t="s">
        <v>169</v>
      </c>
      <c r="I26" s="14" t="s">
        <v>170</v>
      </c>
      <c r="J26" s="6" t="s">
        <v>281</v>
      </c>
      <c r="K26" s="6" t="s">
        <v>316</v>
      </c>
      <c r="L26" s="6" t="s">
        <v>217</v>
      </c>
      <c r="M26" s="6" t="s">
        <v>315</v>
      </c>
      <c r="N26" s="6" t="s">
        <v>317</v>
      </c>
    </row>
    <row r="27" spans="1:14" x14ac:dyDescent="0.45">
      <c r="A27" s="14">
        <v>24</v>
      </c>
      <c r="B27" s="14" t="s">
        <v>171</v>
      </c>
      <c r="C27" s="14">
        <v>1078</v>
      </c>
      <c r="D27" s="15" t="s">
        <v>63</v>
      </c>
      <c r="E27" s="14" t="s">
        <v>172</v>
      </c>
      <c r="F27" s="14" t="s">
        <v>173</v>
      </c>
      <c r="G27" s="14">
        <v>10.8</v>
      </c>
      <c r="H27" s="15" t="s">
        <v>174</v>
      </c>
      <c r="I27" s="14" t="s">
        <v>131</v>
      </c>
      <c r="J27" s="6" t="s">
        <v>281</v>
      </c>
      <c r="K27" s="6">
        <v>1</v>
      </c>
      <c r="L27" s="6" t="s">
        <v>217</v>
      </c>
      <c r="M27" s="6"/>
      <c r="N27" s="6"/>
    </row>
    <row r="28" spans="1:14" x14ac:dyDescent="0.45">
      <c r="A28" s="14">
        <v>25</v>
      </c>
      <c r="B28" s="14" t="s">
        <v>159</v>
      </c>
      <c r="C28" s="14">
        <v>261</v>
      </c>
      <c r="D28" s="15" t="s">
        <v>166</v>
      </c>
      <c r="E28" s="14" t="s">
        <v>175</v>
      </c>
      <c r="F28" s="14" t="s">
        <v>176</v>
      </c>
      <c r="G28" s="14">
        <v>8.8000000000000007</v>
      </c>
      <c r="H28" s="15" t="s">
        <v>177</v>
      </c>
      <c r="I28" s="14" t="s">
        <v>178</v>
      </c>
      <c r="J28" s="6" t="s">
        <v>281</v>
      </c>
      <c r="K28" s="6">
        <v>2</v>
      </c>
      <c r="L28" s="6" t="s">
        <v>217</v>
      </c>
      <c r="M28" s="6" t="s">
        <v>318</v>
      </c>
      <c r="N28" s="6"/>
    </row>
    <row r="29" spans="1:14" x14ac:dyDescent="0.45">
      <c r="A29" s="14">
        <v>26</v>
      </c>
      <c r="B29" s="14" t="s">
        <v>159</v>
      </c>
      <c r="C29" s="14">
        <v>931</v>
      </c>
      <c r="D29" s="15" t="s">
        <v>166</v>
      </c>
      <c r="E29" s="14" t="s">
        <v>179</v>
      </c>
      <c r="F29" s="14" t="s">
        <v>180</v>
      </c>
      <c r="G29" s="14">
        <v>7.7</v>
      </c>
      <c r="H29" s="15" t="s">
        <v>181</v>
      </c>
      <c r="I29" s="14" t="s">
        <v>102</v>
      </c>
      <c r="J29" s="6" t="s">
        <v>293</v>
      </c>
      <c r="K29" s="6"/>
      <c r="L29" s="6"/>
      <c r="M29" s="6"/>
      <c r="N29" s="6"/>
    </row>
    <row r="30" spans="1:14" x14ac:dyDescent="0.45">
      <c r="A30" s="14">
        <v>27</v>
      </c>
      <c r="B30" s="14" t="s">
        <v>159</v>
      </c>
      <c r="C30" s="14">
        <v>711</v>
      </c>
      <c r="D30" s="15" t="s">
        <v>182</v>
      </c>
      <c r="E30" s="14" t="s">
        <v>183</v>
      </c>
      <c r="F30" s="14" t="s">
        <v>184</v>
      </c>
      <c r="G30" s="14">
        <v>7.7</v>
      </c>
      <c r="H30" s="15" t="s">
        <v>185</v>
      </c>
      <c r="I30" s="14" t="s">
        <v>102</v>
      </c>
      <c r="J30" s="6" t="s">
        <v>293</v>
      </c>
      <c r="K30" s="6"/>
      <c r="L30" s="6"/>
      <c r="M30" s="6"/>
      <c r="N30" s="6"/>
    </row>
    <row r="31" spans="1:14" x14ac:dyDescent="0.45">
      <c r="A31" s="14">
        <v>28</v>
      </c>
      <c r="B31" s="14" t="s">
        <v>159</v>
      </c>
      <c r="C31" s="14">
        <v>304</v>
      </c>
      <c r="D31" s="15" t="s">
        <v>67</v>
      </c>
      <c r="E31" s="14" t="s">
        <v>186</v>
      </c>
      <c r="F31" s="14" t="s">
        <v>187</v>
      </c>
      <c r="G31" s="14">
        <v>7</v>
      </c>
      <c r="H31" s="15" t="s">
        <v>188</v>
      </c>
      <c r="I31" s="14" t="s">
        <v>102</v>
      </c>
      <c r="J31" s="6" t="s">
        <v>283</v>
      </c>
      <c r="K31" s="6"/>
      <c r="L31" s="6" t="s">
        <v>216</v>
      </c>
      <c r="M31" s="6" t="s">
        <v>319</v>
      </c>
      <c r="N31" s="6"/>
    </row>
    <row r="32" spans="1:14" x14ac:dyDescent="0.45">
      <c r="A32" s="14">
        <v>29</v>
      </c>
      <c r="B32" s="14" t="s">
        <v>159</v>
      </c>
      <c r="C32" s="14">
        <v>969</v>
      </c>
      <c r="D32" s="15" t="s">
        <v>166</v>
      </c>
      <c r="E32" s="14" t="s">
        <v>189</v>
      </c>
      <c r="F32" s="14" t="s">
        <v>190</v>
      </c>
      <c r="G32" s="14">
        <v>6.5</v>
      </c>
      <c r="H32" s="15" t="s">
        <v>191</v>
      </c>
      <c r="I32" s="14" t="s">
        <v>97</v>
      </c>
      <c r="J32" s="6" t="s">
        <v>281</v>
      </c>
      <c r="K32" s="6">
        <v>1</v>
      </c>
      <c r="L32" s="6" t="s">
        <v>217</v>
      </c>
      <c r="M32" s="6"/>
      <c r="N32" s="6"/>
    </row>
    <row r="33" spans="1:14" x14ac:dyDescent="0.45">
      <c r="A33" s="14">
        <v>30</v>
      </c>
      <c r="B33" s="14" t="s">
        <v>159</v>
      </c>
      <c r="C33" s="14">
        <v>1171</v>
      </c>
      <c r="D33" s="15" t="s">
        <v>166</v>
      </c>
      <c r="E33" s="14" t="s">
        <v>192</v>
      </c>
      <c r="F33" s="14" t="s">
        <v>193</v>
      </c>
      <c r="G33" s="14">
        <v>6</v>
      </c>
      <c r="H33" s="15" t="s">
        <v>194</v>
      </c>
      <c r="I33" s="14" t="s">
        <v>102</v>
      </c>
      <c r="J33" s="6" t="s">
        <v>293</v>
      </c>
      <c r="K33" s="6"/>
      <c r="L33" s="6"/>
      <c r="M33" s="6"/>
      <c r="N33" s="6"/>
    </row>
    <row r="34" spans="1:14" x14ac:dyDescent="0.45">
      <c r="A34" s="14">
        <v>31</v>
      </c>
      <c r="B34" s="14" t="s">
        <v>159</v>
      </c>
      <c r="C34" s="14">
        <v>853</v>
      </c>
      <c r="D34" s="15" t="s">
        <v>166</v>
      </c>
      <c r="E34" s="14" t="s">
        <v>195</v>
      </c>
      <c r="F34" s="14" t="s">
        <v>196</v>
      </c>
      <c r="G34" s="14">
        <v>5.7</v>
      </c>
      <c r="H34" s="15" t="s">
        <v>197</v>
      </c>
      <c r="I34" s="14" t="s">
        <v>170</v>
      </c>
      <c r="J34" s="6" t="s">
        <v>293</v>
      </c>
      <c r="K34" s="6">
        <v>1</v>
      </c>
      <c r="L34" s="6" t="s">
        <v>217</v>
      </c>
      <c r="M34" s="6" t="s">
        <v>320</v>
      </c>
      <c r="N34" s="6"/>
    </row>
    <row r="35" spans="1:14" x14ac:dyDescent="0.45">
      <c r="A35" s="14">
        <v>32</v>
      </c>
      <c r="B35" s="14" t="s">
        <v>159</v>
      </c>
      <c r="C35" s="14">
        <v>802</v>
      </c>
      <c r="D35" s="15" t="s">
        <v>63</v>
      </c>
      <c r="E35" s="14" t="s">
        <v>198</v>
      </c>
      <c r="F35" s="14" t="s">
        <v>199</v>
      </c>
      <c r="G35" s="14">
        <v>5.7</v>
      </c>
      <c r="H35" s="15" t="s">
        <v>200</v>
      </c>
      <c r="I35" s="14" t="s">
        <v>102</v>
      </c>
      <c r="J35" s="6" t="s">
        <v>293</v>
      </c>
      <c r="K35" s="6">
        <v>1</v>
      </c>
      <c r="L35" s="6"/>
      <c r="M35" s="6" t="s">
        <v>321</v>
      </c>
      <c r="N35" s="6"/>
    </row>
  </sheetData>
  <mergeCells count="1">
    <mergeCell ref="A1:H1"/>
  </mergeCells>
  <phoneticPr fontId="7" type="noConversion"/>
  <dataValidations count="2">
    <dataValidation type="list" allowBlank="1" sqref="J4:J35" xr:uid="{00000000-0002-0000-0300-000000000000}">
      <formula1>"정상,분절,ID스위치,부분누락,오검출"</formula1>
    </dataValidation>
    <dataValidation type="list" allowBlank="1" sqref="L4:L35" xr:uid="{00000000-0002-0000-0300-000001000000}">
      <formula1>"예,아니오"</formula1>
    </dataValidation>
  </dataValidation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63"/>
  <sheetViews>
    <sheetView topLeftCell="B1" workbookViewId="0">
      <pane ySplit="3" topLeftCell="A4" activePane="bottomLeft" state="frozen"/>
      <selection pane="bottomLeft" activeCell="R12" sqref="R12"/>
    </sheetView>
  </sheetViews>
  <sheetFormatPr defaultRowHeight="17" x14ac:dyDescent="0.45"/>
  <cols>
    <col min="1" max="1" width="14.08203125" customWidth="1"/>
    <col min="2" max="2" width="10" customWidth="1"/>
    <col min="3" max="3" width="22" customWidth="1"/>
    <col min="4" max="4" width="16" customWidth="1"/>
    <col min="5" max="6" width="11" customWidth="1"/>
    <col min="7" max="7" width="8" customWidth="1"/>
    <col min="8" max="9" width="9" customWidth="1"/>
    <col min="10" max="10" width="13" customWidth="1"/>
    <col min="11" max="13" width="12" customWidth="1"/>
    <col min="14" max="14" width="26" customWidth="1"/>
  </cols>
  <sheetData>
    <row r="1" spans="1:14" x14ac:dyDescent="0.45">
      <c r="A1" s="8" t="s">
        <v>201</v>
      </c>
    </row>
    <row r="3" spans="1:14" x14ac:dyDescent="0.45">
      <c r="A3" s="4" t="s">
        <v>79</v>
      </c>
      <c r="B3" s="4" t="s">
        <v>202</v>
      </c>
      <c r="C3" s="4" t="s">
        <v>44</v>
      </c>
      <c r="D3" s="4" t="s">
        <v>203</v>
      </c>
      <c r="E3" s="4" t="s">
        <v>204</v>
      </c>
      <c r="F3" s="4" t="s">
        <v>205</v>
      </c>
      <c r="G3" s="4" t="s">
        <v>206</v>
      </c>
      <c r="H3" s="4" t="s">
        <v>207</v>
      </c>
      <c r="I3" s="4" t="s">
        <v>208</v>
      </c>
      <c r="J3" s="4" t="s">
        <v>209</v>
      </c>
      <c r="K3" s="4" t="s">
        <v>88</v>
      </c>
      <c r="L3" s="4" t="s">
        <v>210</v>
      </c>
      <c r="M3" s="4" t="s">
        <v>211</v>
      </c>
      <c r="N3" s="4" t="s">
        <v>212</v>
      </c>
    </row>
    <row r="4" spans="1:14" x14ac:dyDescent="0.45">
      <c r="A4" s="14">
        <v>1</v>
      </c>
      <c r="B4" s="14" t="s">
        <v>213</v>
      </c>
      <c r="C4" s="15" t="s">
        <v>65</v>
      </c>
      <c r="D4" s="14" t="s">
        <v>214</v>
      </c>
      <c r="E4" s="14" t="s">
        <v>215</v>
      </c>
      <c r="F4" s="14" t="s">
        <v>215</v>
      </c>
      <c r="G4" s="14">
        <v>0</v>
      </c>
      <c r="H4" s="14">
        <v>96.5</v>
      </c>
      <c r="I4" s="14" t="s">
        <v>216</v>
      </c>
      <c r="J4" s="14" t="s">
        <v>217</v>
      </c>
      <c r="K4" s="6" t="s">
        <v>266</v>
      </c>
      <c r="L4" s="6"/>
      <c r="M4" s="6"/>
      <c r="N4" s="6"/>
    </row>
    <row r="5" spans="1:14" x14ac:dyDescent="0.45">
      <c r="A5" s="10">
        <v>2</v>
      </c>
      <c r="B5" s="10" t="s">
        <v>218</v>
      </c>
      <c r="C5" s="6" t="s">
        <v>61</v>
      </c>
      <c r="D5" s="10" t="s">
        <v>219</v>
      </c>
      <c r="E5" s="10" t="s">
        <v>215</v>
      </c>
      <c r="F5" s="10" t="s">
        <v>220</v>
      </c>
      <c r="G5" s="10">
        <v>2</v>
      </c>
      <c r="H5" s="10">
        <v>0</v>
      </c>
      <c r="I5" s="10"/>
      <c r="J5" s="10" t="s">
        <v>217</v>
      </c>
      <c r="K5" s="6" t="s">
        <v>266</v>
      </c>
      <c r="L5" s="6"/>
      <c r="M5" s="6"/>
      <c r="N5" s="6"/>
    </row>
    <row r="6" spans="1:14" x14ac:dyDescent="0.45">
      <c r="A6" s="14">
        <v>3</v>
      </c>
      <c r="B6" s="14" t="s">
        <v>221</v>
      </c>
      <c r="C6" s="15" t="s">
        <v>67</v>
      </c>
      <c r="D6" s="14" t="s">
        <v>219</v>
      </c>
      <c r="E6" s="14" t="s">
        <v>222</v>
      </c>
      <c r="F6" s="14" t="s">
        <v>220</v>
      </c>
      <c r="G6" s="14">
        <v>0.5</v>
      </c>
      <c r="H6" s="14">
        <v>78.5</v>
      </c>
      <c r="I6" s="14" t="s">
        <v>216</v>
      </c>
      <c r="J6" s="14" t="s">
        <v>217</v>
      </c>
      <c r="K6" s="6" t="s">
        <v>267</v>
      </c>
      <c r="L6" s="6" t="s">
        <v>280</v>
      </c>
      <c r="M6" s="6" t="s">
        <v>280</v>
      </c>
      <c r="N6" s="6"/>
    </row>
    <row r="7" spans="1:14" x14ac:dyDescent="0.45">
      <c r="A7" s="10">
        <v>4</v>
      </c>
      <c r="B7" s="10" t="s">
        <v>223</v>
      </c>
      <c r="C7" s="6" t="s">
        <v>61</v>
      </c>
      <c r="D7" s="10" t="s">
        <v>219</v>
      </c>
      <c r="E7" s="10" t="s">
        <v>220</v>
      </c>
      <c r="F7" s="10" t="s">
        <v>215</v>
      </c>
      <c r="G7" s="10">
        <v>0.3</v>
      </c>
      <c r="H7" s="10">
        <v>48</v>
      </c>
      <c r="I7" s="10"/>
      <c r="J7" s="10" t="s">
        <v>217</v>
      </c>
      <c r="K7" s="6" t="s">
        <v>266</v>
      </c>
      <c r="L7" s="6"/>
      <c r="M7" s="6"/>
      <c r="N7" s="6"/>
    </row>
    <row r="8" spans="1:14" x14ac:dyDescent="0.45">
      <c r="A8" s="5">
        <v>5</v>
      </c>
      <c r="B8" s="5" t="s">
        <v>151</v>
      </c>
      <c r="C8" s="9" t="s">
        <v>61</v>
      </c>
      <c r="D8" s="5" t="s">
        <v>214</v>
      </c>
      <c r="E8" s="5" t="s">
        <v>215</v>
      </c>
      <c r="F8" s="5" t="s">
        <v>215</v>
      </c>
      <c r="G8" s="5">
        <v>2</v>
      </c>
      <c r="H8" s="5">
        <v>0</v>
      </c>
      <c r="I8" s="5"/>
      <c r="J8" s="5" t="s">
        <v>216</v>
      </c>
      <c r="K8" s="6" t="s">
        <v>265</v>
      </c>
      <c r="L8" s="6" t="s">
        <v>322</v>
      </c>
      <c r="M8" s="6" t="s">
        <v>323</v>
      </c>
      <c r="N8" s="6"/>
    </row>
    <row r="9" spans="1:14" x14ac:dyDescent="0.45">
      <c r="A9" s="10">
        <v>6</v>
      </c>
      <c r="B9" s="10" t="s">
        <v>151</v>
      </c>
      <c r="C9" s="6" t="s">
        <v>61</v>
      </c>
      <c r="D9" s="10" t="s">
        <v>219</v>
      </c>
      <c r="E9" s="10" t="s">
        <v>220</v>
      </c>
      <c r="F9" s="10" t="s">
        <v>215</v>
      </c>
      <c r="G9" s="10">
        <v>0.6</v>
      </c>
      <c r="H9" s="10">
        <v>36</v>
      </c>
      <c r="I9" s="10"/>
      <c r="J9" s="10" t="s">
        <v>216</v>
      </c>
      <c r="K9" s="6" t="s">
        <v>267</v>
      </c>
      <c r="L9" s="6"/>
      <c r="M9" s="6"/>
      <c r="N9" s="6"/>
    </row>
    <row r="10" spans="1:14" x14ac:dyDescent="0.45">
      <c r="A10" s="5">
        <v>7</v>
      </c>
      <c r="B10" s="5" t="s">
        <v>224</v>
      </c>
      <c r="C10" s="9" t="s">
        <v>67</v>
      </c>
      <c r="D10" s="5" t="s">
        <v>214</v>
      </c>
      <c r="E10" s="5" t="s">
        <v>215</v>
      </c>
      <c r="F10" s="5" t="s">
        <v>215</v>
      </c>
      <c r="G10" s="5">
        <v>0.7</v>
      </c>
      <c r="H10" s="5">
        <v>32</v>
      </c>
      <c r="I10" s="5"/>
      <c r="J10" s="5" t="s">
        <v>216</v>
      </c>
      <c r="K10" s="6" t="s">
        <v>326</v>
      </c>
      <c r="L10" s="6"/>
      <c r="M10" s="6"/>
      <c r="N10" s="6"/>
    </row>
    <row r="11" spans="1:14" x14ac:dyDescent="0.45">
      <c r="A11" s="5">
        <v>8</v>
      </c>
      <c r="B11" s="5" t="s">
        <v>225</v>
      </c>
      <c r="C11" s="9" t="s">
        <v>67</v>
      </c>
      <c r="D11" s="5" t="s">
        <v>214</v>
      </c>
      <c r="E11" s="5" t="s">
        <v>215</v>
      </c>
      <c r="F11" s="5" t="s">
        <v>215</v>
      </c>
      <c r="G11" s="5">
        <v>2.7</v>
      </c>
      <c r="H11" s="5">
        <v>0</v>
      </c>
      <c r="I11" s="5"/>
      <c r="J11" s="5" t="s">
        <v>217</v>
      </c>
      <c r="K11" s="6" t="s">
        <v>266</v>
      </c>
      <c r="L11" s="6"/>
      <c r="M11" s="6"/>
      <c r="N11" s="6"/>
    </row>
    <row r="12" spans="1:14" x14ac:dyDescent="0.45">
      <c r="A12" s="5">
        <v>9</v>
      </c>
      <c r="B12" s="5" t="s">
        <v>226</v>
      </c>
      <c r="C12" s="9" t="s">
        <v>61</v>
      </c>
      <c r="D12" s="5" t="s">
        <v>214</v>
      </c>
      <c r="E12" s="5" t="s">
        <v>215</v>
      </c>
      <c r="F12" s="5" t="s">
        <v>215</v>
      </c>
      <c r="G12" s="5">
        <v>2.4</v>
      </c>
      <c r="H12" s="5">
        <v>0</v>
      </c>
      <c r="I12" s="5"/>
      <c r="J12" s="5" t="s">
        <v>216</v>
      </c>
      <c r="K12" s="6" t="s">
        <v>266</v>
      </c>
      <c r="L12" s="6"/>
      <c r="M12" s="6"/>
      <c r="N12" s="6"/>
    </row>
    <row r="13" spans="1:14" x14ac:dyDescent="0.45">
      <c r="A13" s="5">
        <v>10</v>
      </c>
      <c r="B13" s="5" t="s">
        <v>227</v>
      </c>
      <c r="C13" s="9" t="s">
        <v>67</v>
      </c>
      <c r="D13" s="5" t="s">
        <v>214</v>
      </c>
      <c r="E13" s="5" t="s">
        <v>215</v>
      </c>
      <c r="F13" s="5" t="s">
        <v>215</v>
      </c>
      <c r="G13" s="5">
        <v>0.8</v>
      </c>
      <c r="H13" s="5">
        <v>28</v>
      </c>
      <c r="I13" s="5"/>
      <c r="J13" s="5" t="s">
        <v>216</v>
      </c>
      <c r="K13" s="6" t="s">
        <v>266</v>
      </c>
      <c r="L13" s="6"/>
      <c r="M13" s="6"/>
      <c r="N13" s="6"/>
    </row>
    <row r="14" spans="1:14" x14ac:dyDescent="0.45">
      <c r="A14" s="10">
        <v>11</v>
      </c>
      <c r="B14" s="10" t="s">
        <v>228</v>
      </c>
      <c r="C14" s="6" t="s">
        <v>67</v>
      </c>
      <c r="D14" s="10" t="s">
        <v>219</v>
      </c>
      <c r="E14" s="10" t="s">
        <v>215</v>
      </c>
      <c r="F14" s="10" t="s">
        <v>220</v>
      </c>
      <c r="G14" s="10">
        <v>1</v>
      </c>
      <c r="H14" s="10">
        <v>20</v>
      </c>
      <c r="I14" s="10"/>
      <c r="J14" s="10" t="s">
        <v>217</v>
      </c>
      <c r="K14" s="6" t="s">
        <v>267</v>
      </c>
      <c r="L14" s="6"/>
      <c r="M14" s="6"/>
      <c r="N14" s="6"/>
    </row>
    <row r="15" spans="1:14" x14ac:dyDescent="0.45">
      <c r="A15" s="5">
        <v>12</v>
      </c>
      <c r="B15" s="5" t="s">
        <v>229</v>
      </c>
      <c r="C15" s="9" t="s">
        <v>67</v>
      </c>
      <c r="D15" s="5" t="s">
        <v>214</v>
      </c>
      <c r="E15" s="5" t="s">
        <v>215</v>
      </c>
      <c r="F15" s="5" t="s">
        <v>215</v>
      </c>
      <c r="G15" s="5">
        <v>2.4</v>
      </c>
      <c r="H15" s="5">
        <v>11.2</v>
      </c>
      <c r="I15" s="5"/>
      <c r="J15" s="5" t="s">
        <v>217</v>
      </c>
      <c r="K15" s="6" t="s">
        <v>266</v>
      </c>
      <c r="L15" s="6"/>
      <c r="M15" s="6"/>
      <c r="N15" s="6"/>
    </row>
    <row r="16" spans="1:14" x14ac:dyDescent="0.45">
      <c r="A16" s="10">
        <v>13</v>
      </c>
      <c r="B16" s="10" t="s">
        <v>229</v>
      </c>
      <c r="C16" s="6" t="s">
        <v>67</v>
      </c>
      <c r="D16" s="10" t="s">
        <v>219</v>
      </c>
      <c r="E16" s="10" t="s">
        <v>220</v>
      </c>
      <c r="F16" s="10" t="s">
        <v>215</v>
      </c>
      <c r="G16" s="10">
        <v>0.1</v>
      </c>
      <c r="H16" s="10">
        <v>56</v>
      </c>
      <c r="I16" s="10"/>
      <c r="J16" s="10" t="s">
        <v>217</v>
      </c>
      <c r="K16" s="6" t="s">
        <v>267</v>
      </c>
      <c r="L16" s="6"/>
      <c r="M16" s="6"/>
      <c r="N16" s="6"/>
    </row>
    <row r="17" spans="1:14" x14ac:dyDescent="0.45">
      <c r="A17" s="5">
        <v>14</v>
      </c>
      <c r="B17" s="5" t="s">
        <v>230</v>
      </c>
      <c r="C17" s="9" t="s">
        <v>61</v>
      </c>
      <c r="D17" s="5" t="s">
        <v>214</v>
      </c>
      <c r="E17" s="5" t="s">
        <v>215</v>
      </c>
      <c r="F17" s="5" t="s">
        <v>215</v>
      </c>
      <c r="G17" s="5">
        <v>2.5</v>
      </c>
      <c r="H17" s="5">
        <v>0</v>
      </c>
      <c r="I17" s="5"/>
      <c r="J17" s="5" t="s">
        <v>216</v>
      </c>
      <c r="K17" s="6" t="s">
        <v>266</v>
      </c>
      <c r="L17" s="6"/>
      <c r="M17" s="6"/>
      <c r="N17" s="6"/>
    </row>
    <row r="18" spans="1:14" x14ac:dyDescent="0.45">
      <c r="A18" s="5">
        <v>15</v>
      </c>
      <c r="B18" s="5" t="s">
        <v>231</v>
      </c>
      <c r="C18" s="9" t="s">
        <v>67</v>
      </c>
      <c r="D18" s="5" t="s">
        <v>214</v>
      </c>
      <c r="E18" s="5" t="s">
        <v>215</v>
      </c>
      <c r="F18" s="5" t="s">
        <v>215</v>
      </c>
      <c r="G18" s="5">
        <v>1.1000000000000001</v>
      </c>
      <c r="H18" s="5">
        <v>16</v>
      </c>
      <c r="I18" s="5"/>
      <c r="J18" s="5" t="s">
        <v>216</v>
      </c>
      <c r="K18" s="6" t="s">
        <v>266</v>
      </c>
      <c r="L18" s="6"/>
      <c r="M18" s="6"/>
      <c r="N18" s="6"/>
    </row>
    <row r="19" spans="1:14" x14ac:dyDescent="0.45">
      <c r="A19" s="10">
        <v>16</v>
      </c>
      <c r="B19" s="10" t="s">
        <v>231</v>
      </c>
      <c r="C19" s="6" t="s">
        <v>67</v>
      </c>
      <c r="D19" s="10" t="s">
        <v>219</v>
      </c>
      <c r="E19" s="10" t="s">
        <v>220</v>
      </c>
      <c r="F19" s="10" t="s">
        <v>215</v>
      </c>
      <c r="G19" s="10">
        <v>1.5</v>
      </c>
      <c r="H19" s="10">
        <v>0</v>
      </c>
      <c r="I19" s="10"/>
      <c r="J19" s="10" t="s">
        <v>217</v>
      </c>
      <c r="K19" s="6" t="s">
        <v>267</v>
      </c>
      <c r="L19" s="6"/>
      <c r="M19" s="6"/>
      <c r="N19" s="6"/>
    </row>
    <row r="20" spans="1:14" x14ac:dyDescent="0.45">
      <c r="A20" s="14">
        <v>17</v>
      </c>
      <c r="B20" s="14" t="s">
        <v>232</v>
      </c>
      <c r="C20" s="15" t="s">
        <v>63</v>
      </c>
      <c r="D20" s="14" t="s">
        <v>214</v>
      </c>
      <c r="E20" s="14" t="s">
        <v>233</v>
      </c>
      <c r="F20" s="14" t="s">
        <v>215</v>
      </c>
      <c r="G20" s="14">
        <v>0</v>
      </c>
      <c r="H20" s="14">
        <v>98.1</v>
      </c>
      <c r="I20" s="14" t="s">
        <v>216</v>
      </c>
      <c r="J20" s="14" t="s">
        <v>216</v>
      </c>
      <c r="K20" s="6" t="s">
        <v>267</v>
      </c>
      <c r="L20" s="6"/>
      <c r="M20" s="6"/>
      <c r="N20" s="6"/>
    </row>
    <row r="21" spans="1:14" x14ac:dyDescent="0.45">
      <c r="A21" s="10">
        <v>18</v>
      </c>
      <c r="B21" s="10" t="s">
        <v>234</v>
      </c>
      <c r="C21" s="6" t="s">
        <v>67</v>
      </c>
      <c r="D21" s="10" t="s">
        <v>219</v>
      </c>
      <c r="E21" s="10" t="s">
        <v>220</v>
      </c>
      <c r="F21" s="10" t="s">
        <v>215</v>
      </c>
      <c r="G21" s="10">
        <v>0.9</v>
      </c>
      <c r="H21" s="10">
        <v>24</v>
      </c>
      <c r="I21" s="10"/>
      <c r="J21" s="10" t="s">
        <v>217</v>
      </c>
      <c r="K21" s="6" t="s">
        <v>266</v>
      </c>
      <c r="L21" s="6"/>
      <c r="M21" s="6"/>
      <c r="N21" s="6"/>
    </row>
    <row r="22" spans="1:14" x14ac:dyDescent="0.45">
      <c r="A22" s="5">
        <v>19</v>
      </c>
      <c r="B22" s="5" t="s">
        <v>234</v>
      </c>
      <c r="C22" s="9" t="s">
        <v>67</v>
      </c>
      <c r="D22" s="5" t="s">
        <v>214</v>
      </c>
      <c r="E22" s="5" t="s">
        <v>215</v>
      </c>
      <c r="F22" s="5" t="s">
        <v>215</v>
      </c>
      <c r="G22" s="5">
        <v>0.6</v>
      </c>
      <c r="H22" s="5">
        <v>36</v>
      </c>
      <c r="I22" s="5"/>
      <c r="J22" s="5" t="s">
        <v>217</v>
      </c>
      <c r="K22" s="6" t="s">
        <v>266</v>
      </c>
      <c r="L22" s="6"/>
      <c r="M22" s="6"/>
      <c r="N22" s="6"/>
    </row>
    <row r="23" spans="1:14" x14ac:dyDescent="0.45">
      <c r="A23" s="10">
        <v>20</v>
      </c>
      <c r="B23" s="10" t="s">
        <v>235</v>
      </c>
      <c r="C23" s="6" t="s">
        <v>65</v>
      </c>
      <c r="D23" s="10" t="s">
        <v>219</v>
      </c>
      <c r="E23" s="10" t="s">
        <v>220</v>
      </c>
      <c r="F23" s="10" t="s">
        <v>215</v>
      </c>
      <c r="G23" s="10">
        <v>0.8</v>
      </c>
      <c r="H23" s="10">
        <v>28</v>
      </c>
      <c r="I23" s="10"/>
      <c r="J23" s="10" t="s">
        <v>216</v>
      </c>
      <c r="K23" s="6" t="s">
        <v>266</v>
      </c>
      <c r="L23" s="6" t="s">
        <v>322</v>
      </c>
      <c r="M23" s="6"/>
      <c r="N23" s="6" t="s">
        <v>327</v>
      </c>
    </row>
    <row r="24" spans="1:14" x14ac:dyDescent="0.45">
      <c r="A24" s="5">
        <v>21</v>
      </c>
      <c r="B24" s="5" t="s">
        <v>236</v>
      </c>
      <c r="C24" s="9" t="s">
        <v>61</v>
      </c>
      <c r="D24" s="5" t="s">
        <v>214</v>
      </c>
      <c r="E24" s="5" t="s">
        <v>215</v>
      </c>
      <c r="F24" s="5" t="s">
        <v>215</v>
      </c>
      <c r="G24" s="5">
        <v>0</v>
      </c>
      <c r="H24" s="5">
        <v>60</v>
      </c>
      <c r="I24" s="5"/>
      <c r="J24" s="5" t="s">
        <v>217</v>
      </c>
      <c r="K24" s="6" t="s">
        <v>267</v>
      </c>
      <c r="L24" s="6"/>
      <c r="M24" s="6"/>
      <c r="N24" s="6"/>
    </row>
    <row r="25" spans="1:14" x14ac:dyDescent="0.45">
      <c r="A25" s="10">
        <v>22</v>
      </c>
      <c r="B25" s="10" t="s">
        <v>237</v>
      </c>
      <c r="C25" s="6" t="s">
        <v>67</v>
      </c>
      <c r="D25" s="10" t="s">
        <v>219</v>
      </c>
      <c r="E25" s="10" t="s">
        <v>215</v>
      </c>
      <c r="F25" s="10" t="s">
        <v>220</v>
      </c>
      <c r="G25" s="10">
        <v>0.4</v>
      </c>
      <c r="H25" s="10">
        <v>44</v>
      </c>
      <c r="I25" s="10"/>
      <c r="J25" s="10" t="s">
        <v>217</v>
      </c>
      <c r="K25" s="6" t="s">
        <v>267</v>
      </c>
      <c r="L25" s="6"/>
      <c r="M25" s="6"/>
      <c r="N25" s="6"/>
    </row>
    <row r="26" spans="1:14" x14ac:dyDescent="0.45">
      <c r="A26" s="5">
        <v>23</v>
      </c>
      <c r="B26" s="5" t="s">
        <v>238</v>
      </c>
      <c r="C26" s="9" t="s">
        <v>67</v>
      </c>
      <c r="D26" s="5" t="s">
        <v>214</v>
      </c>
      <c r="E26" s="5" t="s">
        <v>215</v>
      </c>
      <c r="F26" s="5" t="s">
        <v>215</v>
      </c>
      <c r="G26" s="5">
        <v>0.7</v>
      </c>
      <c r="H26" s="5">
        <v>32</v>
      </c>
      <c r="I26" s="5"/>
      <c r="J26" s="5" t="s">
        <v>216</v>
      </c>
      <c r="K26" s="6" t="s">
        <v>267</v>
      </c>
      <c r="L26" s="6"/>
      <c r="M26" s="6"/>
      <c r="N26" s="6"/>
    </row>
    <row r="27" spans="1:14" x14ac:dyDescent="0.45">
      <c r="A27" s="5">
        <v>24</v>
      </c>
      <c r="B27" s="5" t="s">
        <v>239</v>
      </c>
      <c r="C27" s="9" t="s">
        <v>65</v>
      </c>
      <c r="D27" s="5" t="s">
        <v>214</v>
      </c>
      <c r="E27" s="5" t="s">
        <v>233</v>
      </c>
      <c r="F27" s="5" t="s">
        <v>215</v>
      </c>
      <c r="G27" s="5">
        <v>0.2</v>
      </c>
      <c r="H27" s="5">
        <v>52</v>
      </c>
      <c r="I27" s="5"/>
      <c r="J27" s="5" t="s">
        <v>217</v>
      </c>
      <c r="K27" s="6" t="s">
        <v>267</v>
      </c>
      <c r="L27" s="6"/>
      <c r="M27" s="6"/>
      <c r="N27" s="6"/>
    </row>
    <row r="28" spans="1:14" x14ac:dyDescent="0.45">
      <c r="A28" s="14">
        <v>25</v>
      </c>
      <c r="B28" s="14" t="s">
        <v>240</v>
      </c>
      <c r="C28" s="15" t="s">
        <v>67</v>
      </c>
      <c r="D28" s="14" t="s">
        <v>214</v>
      </c>
      <c r="E28" s="14" t="s">
        <v>215</v>
      </c>
      <c r="F28" s="14" t="s">
        <v>215</v>
      </c>
      <c r="G28" s="14">
        <v>0</v>
      </c>
      <c r="H28" s="14">
        <v>87.2</v>
      </c>
      <c r="I28" s="14" t="s">
        <v>216</v>
      </c>
      <c r="J28" s="14" t="s">
        <v>217</v>
      </c>
      <c r="K28" s="6" t="s">
        <v>267</v>
      </c>
      <c r="L28" s="6"/>
      <c r="M28" s="6"/>
      <c r="N28" s="6"/>
    </row>
    <row r="29" spans="1:14" x14ac:dyDescent="0.45">
      <c r="A29" s="10">
        <v>26</v>
      </c>
      <c r="B29" s="10" t="s">
        <v>241</v>
      </c>
      <c r="C29" s="6" t="s">
        <v>65</v>
      </c>
      <c r="D29" s="10" t="s">
        <v>219</v>
      </c>
      <c r="E29" s="10" t="s">
        <v>215</v>
      </c>
      <c r="F29" s="10" t="s">
        <v>220</v>
      </c>
      <c r="G29" s="10">
        <v>2.8</v>
      </c>
      <c r="H29" s="10">
        <v>0</v>
      </c>
      <c r="I29" s="10"/>
      <c r="J29" s="10" t="s">
        <v>217</v>
      </c>
      <c r="K29" s="6" t="s">
        <v>267</v>
      </c>
      <c r="L29" s="6"/>
      <c r="M29" s="6"/>
      <c r="N29" s="6"/>
    </row>
    <row r="30" spans="1:14" x14ac:dyDescent="0.45">
      <c r="A30" s="10">
        <v>27</v>
      </c>
      <c r="B30" s="10" t="s">
        <v>242</v>
      </c>
      <c r="C30" s="6" t="s">
        <v>65</v>
      </c>
      <c r="D30" s="10" t="s">
        <v>219</v>
      </c>
      <c r="E30" s="10" t="s">
        <v>220</v>
      </c>
      <c r="F30" s="10" t="s">
        <v>215</v>
      </c>
      <c r="G30" s="10">
        <v>1.4</v>
      </c>
      <c r="H30" s="10">
        <v>4</v>
      </c>
      <c r="I30" s="10"/>
      <c r="J30" s="10" t="s">
        <v>217</v>
      </c>
      <c r="K30" s="6" t="s">
        <v>267</v>
      </c>
      <c r="L30" s="6"/>
      <c r="M30" s="6"/>
      <c r="N30" s="6"/>
    </row>
    <row r="31" spans="1:14" x14ac:dyDescent="0.45">
      <c r="A31" s="5">
        <v>28</v>
      </c>
      <c r="B31" s="5" t="s">
        <v>243</v>
      </c>
      <c r="C31" s="9" t="s">
        <v>65</v>
      </c>
      <c r="D31" s="5" t="s">
        <v>214</v>
      </c>
      <c r="E31" s="5" t="s">
        <v>215</v>
      </c>
      <c r="F31" s="5" t="s">
        <v>215</v>
      </c>
      <c r="G31" s="5">
        <v>0</v>
      </c>
      <c r="H31" s="5">
        <v>60</v>
      </c>
      <c r="I31" s="5"/>
      <c r="J31" s="5" t="s">
        <v>216</v>
      </c>
      <c r="K31" s="6" t="s">
        <v>267</v>
      </c>
      <c r="L31" s="6"/>
      <c r="M31" s="6"/>
      <c r="N31" s="6"/>
    </row>
    <row r="32" spans="1:14" x14ac:dyDescent="0.45">
      <c r="A32" s="5">
        <v>29</v>
      </c>
      <c r="B32" s="5" t="s">
        <v>244</v>
      </c>
      <c r="C32" s="9" t="s">
        <v>67</v>
      </c>
      <c r="D32" s="5" t="s">
        <v>214</v>
      </c>
      <c r="E32" s="5" t="s">
        <v>215</v>
      </c>
      <c r="F32" s="5" t="s">
        <v>215</v>
      </c>
      <c r="G32" s="5">
        <v>0.8</v>
      </c>
      <c r="H32" s="5">
        <v>28</v>
      </c>
      <c r="I32" s="5"/>
      <c r="J32" s="5" t="s">
        <v>217</v>
      </c>
      <c r="K32" s="6" t="s">
        <v>267</v>
      </c>
      <c r="L32" s="6"/>
      <c r="M32" s="6"/>
      <c r="N32" s="6"/>
    </row>
    <row r="33" spans="1:14" x14ac:dyDescent="0.45">
      <c r="A33" s="5">
        <v>30</v>
      </c>
      <c r="B33" s="5" t="s">
        <v>245</v>
      </c>
      <c r="C33" s="9" t="s">
        <v>67</v>
      </c>
      <c r="D33" s="5" t="s">
        <v>214</v>
      </c>
      <c r="E33" s="5" t="s">
        <v>215</v>
      </c>
      <c r="F33" s="5" t="s">
        <v>215</v>
      </c>
      <c r="G33" s="5">
        <v>0.6</v>
      </c>
      <c r="H33" s="5">
        <v>36</v>
      </c>
      <c r="I33" s="5"/>
      <c r="J33" s="5" t="s">
        <v>216</v>
      </c>
      <c r="K33" s="6" t="s">
        <v>267</v>
      </c>
      <c r="L33" s="6"/>
      <c r="M33" s="6"/>
      <c r="N33" s="6"/>
    </row>
    <row r="34" spans="1:14" x14ac:dyDescent="0.45">
      <c r="A34" s="10">
        <v>31</v>
      </c>
      <c r="B34" s="10" t="s">
        <v>246</v>
      </c>
      <c r="C34" s="6" t="s">
        <v>63</v>
      </c>
      <c r="D34" s="10" t="s">
        <v>219</v>
      </c>
      <c r="E34" s="10" t="s">
        <v>220</v>
      </c>
      <c r="F34" s="10" t="s">
        <v>215</v>
      </c>
      <c r="G34" s="10">
        <v>2.2999999999999998</v>
      </c>
      <c r="H34" s="10">
        <v>34.1</v>
      </c>
      <c r="I34" s="10"/>
      <c r="J34" s="10" t="s">
        <v>217</v>
      </c>
      <c r="K34" s="6" t="s">
        <v>266</v>
      </c>
      <c r="L34" s="6" t="s">
        <v>322</v>
      </c>
      <c r="M34" s="6" t="s">
        <v>323</v>
      </c>
      <c r="N34" s="6"/>
    </row>
    <row r="35" spans="1:14" x14ac:dyDescent="0.45">
      <c r="A35" s="10">
        <v>32</v>
      </c>
      <c r="B35" s="10" t="s">
        <v>153</v>
      </c>
      <c r="C35" s="6" t="s">
        <v>63</v>
      </c>
      <c r="D35" s="10" t="s">
        <v>219</v>
      </c>
      <c r="E35" s="10" t="s">
        <v>220</v>
      </c>
      <c r="F35" s="10" t="s">
        <v>215</v>
      </c>
      <c r="G35" s="10">
        <v>1</v>
      </c>
      <c r="H35" s="10">
        <v>23.1</v>
      </c>
      <c r="I35" s="10"/>
      <c r="J35" s="10" t="s">
        <v>216</v>
      </c>
      <c r="K35" s="6" t="s">
        <v>265</v>
      </c>
      <c r="L35" s="6" t="s">
        <v>322</v>
      </c>
      <c r="M35" s="6" t="s">
        <v>323</v>
      </c>
      <c r="N35" s="6"/>
    </row>
    <row r="36" spans="1:14" x14ac:dyDescent="0.45">
      <c r="A36" s="5">
        <v>33</v>
      </c>
      <c r="B36" s="5" t="s">
        <v>153</v>
      </c>
      <c r="C36" s="9" t="s">
        <v>63</v>
      </c>
      <c r="D36" s="5" t="s">
        <v>214</v>
      </c>
      <c r="E36" s="5" t="s">
        <v>215</v>
      </c>
      <c r="F36" s="5" t="s">
        <v>215</v>
      </c>
      <c r="G36" s="5">
        <v>1.5</v>
      </c>
      <c r="H36" s="5">
        <v>13</v>
      </c>
      <c r="I36" s="5"/>
      <c r="J36" s="5" t="s">
        <v>217</v>
      </c>
      <c r="K36" s="6" t="s">
        <v>267</v>
      </c>
      <c r="L36" s="6"/>
      <c r="M36" s="6"/>
      <c r="N36" s="6"/>
    </row>
    <row r="37" spans="1:14" x14ac:dyDescent="0.45">
      <c r="A37" s="5">
        <v>34</v>
      </c>
      <c r="B37" s="5" t="s">
        <v>247</v>
      </c>
      <c r="C37" s="9" t="s">
        <v>61</v>
      </c>
      <c r="D37" s="5" t="s">
        <v>214</v>
      </c>
      <c r="E37" s="5" t="s">
        <v>215</v>
      </c>
      <c r="F37" s="5" t="s">
        <v>215</v>
      </c>
      <c r="G37" s="5">
        <v>0</v>
      </c>
      <c r="H37" s="5">
        <v>60</v>
      </c>
      <c r="I37" s="5"/>
      <c r="J37" s="5" t="s">
        <v>217</v>
      </c>
      <c r="K37" s="6" t="s">
        <v>267</v>
      </c>
      <c r="L37" s="6"/>
      <c r="M37" s="6"/>
      <c r="N37" s="6"/>
    </row>
    <row r="38" spans="1:14" x14ac:dyDescent="0.45">
      <c r="A38" s="10">
        <v>35</v>
      </c>
      <c r="B38" s="10" t="s">
        <v>248</v>
      </c>
      <c r="C38" s="6" t="s">
        <v>65</v>
      </c>
      <c r="D38" s="10" t="s">
        <v>219</v>
      </c>
      <c r="E38" s="10" t="s">
        <v>215</v>
      </c>
      <c r="F38" s="10" t="s">
        <v>220</v>
      </c>
      <c r="G38" s="10">
        <v>0.9</v>
      </c>
      <c r="H38" s="10">
        <v>24</v>
      </c>
      <c r="I38" s="10"/>
      <c r="J38" s="10" t="s">
        <v>216</v>
      </c>
      <c r="K38" s="6" t="s">
        <v>265</v>
      </c>
      <c r="L38" s="6" t="s">
        <v>322</v>
      </c>
      <c r="M38" s="6" t="s">
        <v>325</v>
      </c>
      <c r="N38" s="6"/>
    </row>
    <row r="39" spans="1:14" x14ac:dyDescent="0.45">
      <c r="A39" s="5">
        <v>36</v>
      </c>
      <c r="B39" s="5" t="s">
        <v>95</v>
      </c>
      <c r="C39" s="9" t="s">
        <v>63</v>
      </c>
      <c r="D39" s="5" t="s">
        <v>214</v>
      </c>
      <c r="E39" s="5" t="s">
        <v>215</v>
      </c>
      <c r="F39" s="5" t="s">
        <v>215</v>
      </c>
      <c r="G39" s="5">
        <v>1.9</v>
      </c>
      <c r="H39" s="5">
        <v>0</v>
      </c>
      <c r="I39" s="5"/>
      <c r="J39" s="5" t="s">
        <v>216</v>
      </c>
      <c r="K39" s="6" t="s">
        <v>267</v>
      </c>
      <c r="L39" s="6"/>
      <c r="M39" s="6"/>
      <c r="N39" s="6"/>
    </row>
    <row r="40" spans="1:14" x14ac:dyDescent="0.45">
      <c r="A40" s="10">
        <v>37</v>
      </c>
      <c r="B40" s="10" t="s">
        <v>249</v>
      </c>
      <c r="C40" s="6" t="s">
        <v>63</v>
      </c>
      <c r="D40" s="10" t="s">
        <v>219</v>
      </c>
      <c r="E40" s="10" t="s">
        <v>215</v>
      </c>
      <c r="F40" s="10" t="s">
        <v>220</v>
      </c>
      <c r="G40" s="10">
        <v>2.1</v>
      </c>
      <c r="H40" s="10">
        <v>0</v>
      </c>
      <c r="I40" s="10"/>
      <c r="J40" s="10" t="s">
        <v>217</v>
      </c>
      <c r="K40" s="6" t="s">
        <v>265</v>
      </c>
      <c r="L40" s="6"/>
      <c r="M40" s="6"/>
      <c r="N40" s="6"/>
    </row>
    <row r="41" spans="1:14" x14ac:dyDescent="0.45">
      <c r="A41" s="5">
        <v>38</v>
      </c>
      <c r="B41" s="5" t="s">
        <v>250</v>
      </c>
      <c r="C41" s="9" t="s">
        <v>63</v>
      </c>
      <c r="D41" s="5" t="s">
        <v>214</v>
      </c>
      <c r="E41" s="5" t="s">
        <v>215</v>
      </c>
      <c r="F41" s="5" t="s">
        <v>215</v>
      </c>
      <c r="G41" s="5">
        <v>2.8</v>
      </c>
      <c r="H41" s="5">
        <v>0</v>
      </c>
      <c r="I41" s="5"/>
      <c r="J41" s="5" t="s">
        <v>217</v>
      </c>
      <c r="K41" s="6" t="s">
        <v>265</v>
      </c>
      <c r="L41" s="6"/>
      <c r="M41" s="6"/>
      <c r="N41" s="6"/>
    </row>
    <row r="42" spans="1:14" x14ac:dyDescent="0.45">
      <c r="A42" s="5">
        <v>39</v>
      </c>
      <c r="B42" s="5" t="s">
        <v>251</v>
      </c>
      <c r="C42" s="9" t="s">
        <v>61</v>
      </c>
      <c r="D42" s="5" t="s">
        <v>214</v>
      </c>
      <c r="E42" s="5" t="s">
        <v>215</v>
      </c>
      <c r="F42" s="5" t="s">
        <v>215</v>
      </c>
      <c r="G42" s="5">
        <v>2.5</v>
      </c>
      <c r="H42" s="5">
        <v>0</v>
      </c>
      <c r="I42" s="5"/>
      <c r="J42" s="5" t="s">
        <v>216</v>
      </c>
      <c r="K42" s="6" t="s">
        <v>266</v>
      </c>
      <c r="L42" s="6"/>
      <c r="M42" s="6"/>
      <c r="N42" s="6"/>
    </row>
    <row r="43" spans="1:14" x14ac:dyDescent="0.45">
      <c r="A43" s="5">
        <v>40</v>
      </c>
      <c r="B43" s="5" t="s">
        <v>252</v>
      </c>
      <c r="C43" s="9" t="s">
        <v>67</v>
      </c>
      <c r="D43" s="5" t="s">
        <v>214</v>
      </c>
      <c r="E43" s="5" t="s">
        <v>215</v>
      </c>
      <c r="F43" s="5" t="s">
        <v>215</v>
      </c>
      <c r="G43" s="5">
        <v>1.4</v>
      </c>
      <c r="H43" s="5">
        <v>4</v>
      </c>
      <c r="I43" s="5"/>
      <c r="J43" s="5" t="s">
        <v>216</v>
      </c>
      <c r="K43" s="6" t="s">
        <v>266</v>
      </c>
      <c r="L43" s="6"/>
      <c r="M43" s="6"/>
      <c r="N43" s="6"/>
    </row>
    <row r="44" spans="1:14" x14ac:dyDescent="0.45">
      <c r="A44" s="5">
        <v>41</v>
      </c>
      <c r="B44" s="5" t="s">
        <v>253</v>
      </c>
      <c r="C44" s="9" t="s">
        <v>61</v>
      </c>
      <c r="D44" s="5" t="s">
        <v>214</v>
      </c>
      <c r="E44" s="5" t="s">
        <v>215</v>
      </c>
      <c r="F44" s="5" t="s">
        <v>215</v>
      </c>
      <c r="G44" s="5">
        <v>1</v>
      </c>
      <c r="H44" s="5">
        <v>20</v>
      </c>
      <c r="I44" s="5"/>
      <c r="J44" s="5" t="s">
        <v>216</v>
      </c>
      <c r="K44" s="6" t="s">
        <v>266</v>
      </c>
      <c r="L44" s="6"/>
      <c r="M44" s="6"/>
      <c r="N44" s="6"/>
    </row>
    <row r="45" spans="1:14" x14ac:dyDescent="0.45">
      <c r="A45" s="14">
        <v>42</v>
      </c>
      <c r="B45" s="14" t="s">
        <v>254</v>
      </c>
      <c r="C45" s="15" t="s">
        <v>61</v>
      </c>
      <c r="D45" s="14" t="s">
        <v>214</v>
      </c>
      <c r="E45" s="14" t="s">
        <v>215</v>
      </c>
      <c r="F45" s="14" t="s">
        <v>215</v>
      </c>
      <c r="G45" s="14">
        <v>0</v>
      </c>
      <c r="H45" s="14">
        <v>97.9</v>
      </c>
      <c r="I45" s="14" t="s">
        <v>216</v>
      </c>
      <c r="J45" s="14" t="s">
        <v>217</v>
      </c>
      <c r="K45" s="6" t="s">
        <v>266</v>
      </c>
      <c r="L45" s="6"/>
      <c r="M45" s="6"/>
      <c r="N45" s="6"/>
    </row>
    <row r="46" spans="1:14" x14ac:dyDescent="0.45">
      <c r="A46" s="10">
        <v>43</v>
      </c>
      <c r="B46" s="10" t="s">
        <v>255</v>
      </c>
      <c r="C46" s="6" t="s">
        <v>63</v>
      </c>
      <c r="D46" s="10" t="s">
        <v>219</v>
      </c>
      <c r="E46" s="10" t="s">
        <v>215</v>
      </c>
      <c r="F46" s="10" t="s">
        <v>220</v>
      </c>
      <c r="G46" s="10">
        <v>1.4</v>
      </c>
      <c r="H46" s="10">
        <v>31.5</v>
      </c>
      <c r="I46" s="10"/>
      <c r="J46" s="10" t="s">
        <v>217</v>
      </c>
      <c r="K46" s="6" t="s">
        <v>267</v>
      </c>
      <c r="L46" s="6"/>
      <c r="M46" s="6"/>
      <c r="N46" s="6"/>
    </row>
    <row r="47" spans="1:14" x14ac:dyDescent="0.45">
      <c r="A47" s="10">
        <v>44</v>
      </c>
      <c r="B47" s="10" t="s">
        <v>256</v>
      </c>
      <c r="C47" s="6" t="s">
        <v>67</v>
      </c>
      <c r="D47" s="10" t="s">
        <v>219</v>
      </c>
      <c r="E47" s="10" t="s">
        <v>215</v>
      </c>
      <c r="F47" s="10" t="s">
        <v>220</v>
      </c>
      <c r="G47" s="10">
        <v>2</v>
      </c>
      <c r="H47" s="10">
        <v>0</v>
      </c>
      <c r="I47" s="10"/>
      <c r="J47" s="10" t="s">
        <v>217</v>
      </c>
      <c r="K47" s="6" t="s">
        <v>267</v>
      </c>
      <c r="L47" s="6"/>
      <c r="M47" s="6"/>
      <c r="N47" s="6"/>
    </row>
    <row r="48" spans="1:14" x14ac:dyDescent="0.45">
      <c r="A48" s="10">
        <v>45</v>
      </c>
      <c r="B48" s="10" t="s">
        <v>107</v>
      </c>
      <c r="C48" s="6" t="s">
        <v>53</v>
      </c>
      <c r="D48" s="10" t="s">
        <v>219</v>
      </c>
      <c r="E48" s="10" t="s">
        <v>220</v>
      </c>
      <c r="F48" s="10" t="s">
        <v>222</v>
      </c>
      <c r="G48" s="10">
        <v>0</v>
      </c>
      <c r="H48" s="10">
        <v>60</v>
      </c>
      <c r="I48" s="10"/>
      <c r="J48" s="10" t="s">
        <v>216</v>
      </c>
      <c r="K48" s="6" t="s">
        <v>266</v>
      </c>
      <c r="L48" s="6"/>
      <c r="M48" s="6"/>
      <c r="N48" s="6"/>
    </row>
    <row r="49" spans="1:14" x14ac:dyDescent="0.45">
      <c r="A49" s="10">
        <v>46</v>
      </c>
      <c r="B49" s="10" t="s">
        <v>257</v>
      </c>
      <c r="C49" s="6" t="s">
        <v>65</v>
      </c>
      <c r="D49" s="10" t="s">
        <v>219</v>
      </c>
      <c r="E49" s="10" t="s">
        <v>220</v>
      </c>
      <c r="F49" s="10" t="s">
        <v>222</v>
      </c>
      <c r="G49" s="10">
        <v>2.7</v>
      </c>
      <c r="H49" s="10">
        <v>0</v>
      </c>
      <c r="I49" s="10"/>
      <c r="J49" s="10" t="s">
        <v>217</v>
      </c>
      <c r="K49" s="6" t="s">
        <v>266</v>
      </c>
      <c r="L49" s="6"/>
      <c r="M49" s="6"/>
      <c r="N49" s="6"/>
    </row>
    <row r="50" spans="1:14" x14ac:dyDescent="0.45">
      <c r="A50" s="10">
        <v>47</v>
      </c>
      <c r="B50" s="10" t="s">
        <v>258</v>
      </c>
      <c r="C50" s="6" t="s">
        <v>61</v>
      </c>
      <c r="D50" s="10" t="s">
        <v>219</v>
      </c>
      <c r="E50" s="10" t="s">
        <v>220</v>
      </c>
      <c r="F50" s="10" t="s">
        <v>222</v>
      </c>
      <c r="G50" s="10">
        <v>0</v>
      </c>
      <c r="H50" s="10">
        <v>60</v>
      </c>
      <c r="I50" s="10"/>
      <c r="J50" s="10" t="s">
        <v>217</v>
      </c>
      <c r="K50" s="6" t="s">
        <v>267</v>
      </c>
      <c r="L50" s="6"/>
      <c r="M50" s="6"/>
      <c r="N50" s="6"/>
    </row>
    <row r="51" spans="1:14" x14ac:dyDescent="0.45">
      <c r="A51" s="5">
        <v>48</v>
      </c>
      <c r="B51" s="5" t="s">
        <v>259</v>
      </c>
      <c r="C51" s="9" t="s">
        <v>65</v>
      </c>
      <c r="D51" s="5" t="s">
        <v>214</v>
      </c>
      <c r="E51" s="5" t="s">
        <v>215</v>
      </c>
      <c r="F51" s="5" t="s">
        <v>215</v>
      </c>
      <c r="G51" s="5">
        <v>0.4</v>
      </c>
      <c r="H51" s="5">
        <v>44</v>
      </c>
      <c r="I51" s="5"/>
      <c r="J51" s="5" t="s">
        <v>217</v>
      </c>
      <c r="K51" s="6" t="s">
        <v>266</v>
      </c>
      <c r="L51" s="6"/>
      <c r="M51" s="6"/>
      <c r="N51" s="6"/>
    </row>
    <row r="52" spans="1:14" x14ac:dyDescent="0.45">
      <c r="A52" s="10">
        <v>49</v>
      </c>
      <c r="B52" s="10" t="s">
        <v>260</v>
      </c>
      <c r="C52" s="6" t="s">
        <v>67</v>
      </c>
      <c r="D52" s="10" t="s">
        <v>219</v>
      </c>
      <c r="E52" s="10" t="s">
        <v>220</v>
      </c>
      <c r="F52" s="10" t="s">
        <v>261</v>
      </c>
      <c r="G52" s="10">
        <v>0.1</v>
      </c>
      <c r="H52" s="10">
        <v>56</v>
      </c>
      <c r="I52" s="10"/>
      <c r="J52" s="10" t="s">
        <v>217</v>
      </c>
      <c r="K52" s="6" t="s">
        <v>266</v>
      </c>
      <c r="L52" s="6"/>
      <c r="M52" s="6"/>
      <c r="N52" s="6"/>
    </row>
    <row r="53" spans="1:14" x14ac:dyDescent="0.45">
      <c r="A53" s="5">
        <v>50</v>
      </c>
      <c r="B53" s="5" t="s">
        <v>262</v>
      </c>
      <c r="C53" s="9" t="s">
        <v>67</v>
      </c>
      <c r="D53" s="5" t="s">
        <v>214</v>
      </c>
      <c r="E53" s="5" t="s">
        <v>233</v>
      </c>
      <c r="F53" s="5" t="s">
        <v>261</v>
      </c>
      <c r="G53" s="5">
        <v>0.1</v>
      </c>
      <c r="H53" s="5">
        <v>56</v>
      </c>
      <c r="I53" s="5"/>
      <c r="J53" s="5" t="s">
        <v>216</v>
      </c>
      <c r="K53" s="6" t="s">
        <v>266</v>
      </c>
      <c r="L53" s="6"/>
      <c r="M53" s="6"/>
      <c r="N53" s="6"/>
    </row>
    <row r="54" spans="1:14" x14ac:dyDescent="0.45">
      <c r="A54" s="5">
        <v>51</v>
      </c>
      <c r="B54" s="5" t="s">
        <v>263</v>
      </c>
      <c r="C54" s="9" t="s">
        <v>63</v>
      </c>
      <c r="D54" s="5" t="s">
        <v>214</v>
      </c>
      <c r="E54" s="5" t="s">
        <v>215</v>
      </c>
      <c r="F54" s="5" t="s">
        <v>233</v>
      </c>
      <c r="G54" s="5">
        <v>1</v>
      </c>
      <c r="H54" s="5">
        <v>20</v>
      </c>
      <c r="I54" s="5"/>
      <c r="J54" s="5" t="s">
        <v>216</v>
      </c>
      <c r="K54" s="6" t="s">
        <v>267</v>
      </c>
      <c r="L54" s="6" t="s">
        <v>280</v>
      </c>
      <c r="M54" s="6" t="s">
        <v>280</v>
      </c>
      <c r="N54" s="6"/>
    </row>
    <row r="55" spans="1:14" x14ac:dyDescent="0.45">
      <c r="A55" s="10">
        <v>52</v>
      </c>
      <c r="B55" s="10" t="s">
        <v>263</v>
      </c>
      <c r="C55" s="6" t="s">
        <v>63</v>
      </c>
      <c r="D55" s="10" t="s">
        <v>219</v>
      </c>
      <c r="E55" s="10" t="s">
        <v>220</v>
      </c>
      <c r="F55" s="10" t="s">
        <v>233</v>
      </c>
      <c r="G55" s="10">
        <v>1.2</v>
      </c>
      <c r="H55" s="10">
        <v>12</v>
      </c>
      <c r="I55" s="10"/>
      <c r="J55" s="10" t="s">
        <v>217</v>
      </c>
      <c r="K55" s="6" t="s">
        <v>265</v>
      </c>
      <c r="L55" s="6" t="s">
        <v>324</v>
      </c>
      <c r="M55" s="6" t="s">
        <v>323</v>
      </c>
      <c r="N55" s="6"/>
    </row>
    <row r="57" spans="1:14" x14ac:dyDescent="0.45">
      <c r="A57" s="8" t="s">
        <v>264</v>
      </c>
    </row>
    <row r="58" spans="1:14" x14ac:dyDescent="0.45">
      <c r="A58" s="9" t="s">
        <v>265</v>
      </c>
      <c r="B58" s="5">
        <f>COUNTIF(K4:K55,"실제상충")</f>
        <v>6</v>
      </c>
    </row>
    <row r="59" spans="1:14" x14ac:dyDescent="0.45">
      <c r="A59" s="9" t="s">
        <v>266</v>
      </c>
      <c r="B59" s="5">
        <f>COUNTIF(K4:K55,"단순통과")</f>
        <v>23</v>
      </c>
    </row>
    <row r="60" spans="1:14" x14ac:dyDescent="0.45">
      <c r="A60" s="9" t="s">
        <v>267</v>
      </c>
      <c r="B60" s="5">
        <f>COUNTIF(K4:K55,"오탐")</f>
        <v>23</v>
      </c>
    </row>
    <row r="61" spans="1:14" x14ac:dyDescent="0.45">
      <c r="A61" s="9" t="s">
        <v>268</v>
      </c>
      <c r="B61" s="5">
        <f>COUNTIF(K4:K55,"판단불가")</f>
        <v>0</v>
      </c>
    </row>
    <row r="62" spans="1:14" x14ac:dyDescent="0.45">
      <c r="A62" s="9" t="s">
        <v>269</v>
      </c>
      <c r="B62" s="5">
        <f>COUNTA(K4:K55)</f>
        <v>52</v>
      </c>
    </row>
    <row r="63" spans="1:14" x14ac:dyDescent="0.45">
      <c r="A63" s="9" t="s">
        <v>270</v>
      </c>
      <c r="B63" s="13">
        <f>IF(B62=0,"",B58/B62)</f>
        <v>0.11538461538461539</v>
      </c>
    </row>
  </sheetData>
  <phoneticPr fontId="7" type="noConversion"/>
  <dataValidations count="3">
    <dataValidation type="list" allowBlank="1" sqref="K4 K5 K6 K7 K8 K9 K10 K11 K12 K13 K14 K15 K16 K17 K18 K19 K20 K21 K22 K23 K24 K25 K26 K27 K28 K29 K30 K31 K32 K33 K34 K35 K36 K37 K38 K39 K40 K41 K42 K43 K44 K45 K46 K47 K48 K49 K50 K51 K52 K53 K54 K55" xr:uid="{00000000-0002-0000-0400-000000000000}">
      <formula1>"실제상충,단순통과,오탐,판단불가"</formula1>
    </dataValidation>
    <dataValidation type="list" allowBlank="1" sqref="L4 L5 L6 L7 L8 L9 L10 L11 L12 L13 L14 L15 L16 L17 L18 L19 L20 L21 L22 L23 L24 L25 L26 L27 L28 L29 L30 L31 L32 L33 L34 L35 L36 L37 L38 L39 L40 L41 L42 L43 L44 L45 L46 L47 L48 L49 L50 L51 L52 L53 L54 L55" xr:uid="{00000000-0002-0000-0400-000001000000}">
      <formula1>"높음,중간,낮음"</formula1>
    </dataValidation>
    <dataValidation type="list" allowBlank="1" sqref="M4 M5 M6 M7 M8 M9 M10 M11 M12 M13 M14 M15 M16 M17 M18 M19 M20 M21 M22 M23 M24 M25 M26 M27 M28 M29 M30 M31 M32 M33 M34 M35 M36 M37 M38 M39 M40 M41 M42 M43 M44 M45 M46 M47 M48 M49 M50 M51 M52 M53 M54 M55" xr:uid="{00000000-0002-0000-0400-000002000000}">
      <formula1>"감속,정지,방향전환,없음,판단불가"</formula1>
    </dataValidation>
  </dataValidation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8"/>
  <sheetViews>
    <sheetView workbookViewId="0"/>
  </sheetViews>
  <sheetFormatPr defaultRowHeight="17" x14ac:dyDescent="0.45"/>
  <cols>
    <col min="1" max="1" width="24" customWidth="1"/>
    <col min="2" max="5" width="17" customWidth="1"/>
  </cols>
  <sheetData>
    <row r="1" spans="1:5" x14ac:dyDescent="0.45">
      <c r="A1" s="16" t="s">
        <v>271</v>
      </c>
    </row>
    <row r="3" spans="1:5" x14ac:dyDescent="0.45">
      <c r="A3" s="4" t="s">
        <v>44</v>
      </c>
      <c r="B3" s="4" t="s">
        <v>272</v>
      </c>
      <c r="C3" s="4" t="s">
        <v>273</v>
      </c>
      <c r="D3" s="4" t="s">
        <v>274</v>
      </c>
      <c r="E3" s="4" t="s">
        <v>275</v>
      </c>
    </row>
    <row r="4" spans="1:5" x14ac:dyDescent="0.45">
      <c r="A4" s="9" t="s">
        <v>53</v>
      </c>
      <c r="B4" s="5">
        <v>50</v>
      </c>
      <c r="C4" s="5">
        <v>52</v>
      </c>
      <c r="D4" s="5">
        <v>4</v>
      </c>
      <c r="E4" s="5">
        <v>1</v>
      </c>
    </row>
    <row r="5" spans="1:5" x14ac:dyDescent="0.45">
      <c r="A5" s="9" t="s">
        <v>61</v>
      </c>
      <c r="B5" s="5">
        <v>44</v>
      </c>
      <c r="C5" s="5">
        <v>41</v>
      </c>
      <c r="D5" s="5">
        <v>30</v>
      </c>
      <c r="E5" s="5">
        <v>26</v>
      </c>
    </row>
    <row r="6" spans="1:5" x14ac:dyDescent="0.45">
      <c r="A6" s="9" t="s">
        <v>63</v>
      </c>
      <c r="B6" s="5">
        <v>44</v>
      </c>
      <c r="C6" s="5">
        <v>34</v>
      </c>
      <c r="D6" s="5">
        <v>36</v>
      </c>
      <c r="E6" s="5">
        <v>28</v>
      </c>
    </row>
    <row r="7" spans="1:5" x14ac:dyDescent="0.45">
      <c r="A7" s="9" t="s">
        <v>65</v>
      </c>
      <c r="B7" s="5">
        <v>36</v>
      </c>
      <c r="C7" s="5">
        <v>44</v>
      </c>
      <c r="D7" s="5">
        <v>33</v>
      </c>
      <c r="E7" s="5">
        <v>23</v>
      </c>
    </row>
    <row r="8" spans="1:5" x14ac:dyDescent="0.45">
      <c r="A8" s="9" t="s">
        <v>67</v>
      </c>
      <c r="B8" s="5">
        <v>42</v>
      </c>
      <c r="C8" s="5">
        <v>37</v>
      </c>
      <c r="D8" s="5">
        <v>50</v>
      </c>
      <c r="E8" s="5">
        <v>45</v>
      </c>
    </row>
  </sheetData>
  <phoneticPr fontId="7"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6</vt:i4>
      </vt:variant>
    </vt:vector>
  </HeadingPairs>
  <TitlesOfParts>
    <vt:vector size="6" baseType="lpstr">
      <vt:lpstr>0_안내</vt:lpstr>
      <vt:lpstr>1_촬영로그</vt:lpstr>
      <vt:lpstr>2_통행량조사</vt:lpstr>
      <vt:lpstr>3_궤적검증</vt:lpstr>
      <vt:lpstr>4_상충검증</vt:lpstr>
      <vt:lpstr>5_자동집계참고</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Ji Ho Kim</cp:lastModifiedBy>
  <dcterms:created xsi:type="dcterms:W3CDTF">2026-07-09T07:25:59Z</dcterms:created>
  <dcterms:modified xsi:type="dcterms:W3CDTF">2026-07-10T06:09:21Z</dcterms:modified>
</cp:coreProperties>
</file>